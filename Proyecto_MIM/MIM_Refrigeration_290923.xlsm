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carC\Documents\Python Projects\Proyecto_MIM\"/>
    </mc:Choice>
  </mc:AlternateContent>
  <xr:revisionPtr revIDLastSave="0" documentId="13_ncr:1_{12717A65-70F6-4A90-9174-37BAAA601A33}" xr6:coauthVersionLast="47" xr6:coauthVersionMax="47" xr10:uidLastSave="{00000000-0000-0000-0000-000000000000}"/>
  <bookViews>
    <workbookView xWindow="-108" yWindow="-108" windowWidth="23256" windowHeight="12456" xr2:uid="{1236DFE4-098A-4389-B0D7-31D83C8A8FBD}"/>
  </bookViews>
  <sheets>
    <sheet name="Layout Actual" sheetId="1" r:id="rId1"/>
    <sheet name="Layout Futuro" sheetId="6" r:id="rId2"/>
    <sheet name="Tablas" sheetId="7" r:id="rId3"/>
    <sheet name="Hoja2" sheetId="11" r:id="rId4"/>
    <sheet name="Hoja1" sheetId="10" r:id="rId5"/>
    <sheet name="HojaF" sheetId="9" r:id="rId6"/>
    <sheet name="Calculos" sheetId="5" r:id="rId7"/>
    <sheet name="Hoja3" sheetId="12" r:id="rId8"/>
  </sheets>
  <functionGroups builtInGroupCount="19"/>
  <definedNames>
    <definedName name="TsatBT">'Layout Actual'!$D$11</definedName>
    <definedName name="TSatBTp">'Layout Actual'!$D$12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51" i="7" l="1"/>
  <c r="AC51" i="7"/>
  <c r="AD51" i="7" s="1"/>
  <c r="J36" i="10"/>
  <c r="K36" i="10"/>
  <c r="L51" i="1" a="1"/>
  <c r="L52" i="1"/>
  <c r="L51" i="1" l="1"/>
  <c r="F49" i="10"/>
  <c r="G19" i="10"/>
  <c r="F47" i="10"/>
  <c r="K47" i="10" s="1"/>
  <c r="F34" i="10"/>
  <c r="F31" i="10"/>
  <c r="J31" i="10" s="1"/>
  <c r="G30" i="10"/>
  <c r="K30" i="10" s="1"/>
  <c r="G31" i="10"/>
  <c r="G32" i="10"/>
  <c r="G33" i="10"/>
  <c r="G34" i="10"/>
  <c r="G35" i="10"/>
  <c r="G29" i="10"/>
  <c r="K29" i="10" s="1"/>
  <c r="F30" i="10"/>
  <c r="F55" i="10"/>
  <c r="K55" i="10" s="1"/>
  <c r="F43" i="10"/>
  <c r="J43" i="10" s="1"/>
  <c r="G6" i="10"/>
  <c r="K9" i="10" s="1"/>
  <c r="AC60" i="7"/>
  <c r="AC59" i="7"/>
  <c r="AC61" i="7"/>
  <c r="AD61" i="7" s="1"/>
  <c r="AC58" i="7"/>
  <c r="AC57" i="7"/>
  <c r="AC56" i="7"/>
  <c r="AC55" i="7"/>
  <c r="AD55" i="7" s="1"/>
  <c r="AC54" i="7"/>
  <c r="AC53" i="7"/>
  <c r="AD53" i="7" s="1"/>
  <c r="AC52" i="7"/>
  <c r="AC50" i="7"/>
  <c r="AC49" i="7"/>
  <c r="AC48" i="7"/>
  <c r="AC47" i="7"/>
  <c r="AC46" i="7"/>
  <c r="AC45" i="7"/>
  <c r="AD45" i="7" s="1"/>
  <c r="AC44" i="7"/>
  <c r="AD44" i="7" s="1"/>
  <c r="AC43" i="7"/>
  <c r="AD43" i="7" s="1"/>
  <c r="AC42" i="7"/>
  <c r="AD42" i="7" s="1"/>
  <c r="AC41" i="7"/>
  <c r="AC40" i="7"/>
  <c r="AD40" i="7" s="1"/>
  <c r="AC39" i="7"/>
  <c r="AC38" i="7"/>
  <c r="AD38" i="7" s="1"/>
  <c r="AC37" i="7"/>
  <c r="AB60" i="7"/>
  <c r="AB59" i="7"/>
  <c r="AB50" i="7"/>
  <c r="AB49" i="7"/>
  <c r="AB48" i="7"/>
  <c r="AB47" i="7"/>
  <c r="AB46" i="7"/>
  <c r="AB45" i="7"/>
  <c r="AB44" i="7"/>
  <c r="AB61" i="7"/>
  <c r="AB52" i="7"/>
  <c r="AB53" i="7"/>
  <c r="AB54" i="7"/>
  <c r="AB55" i="7"/>
  <c r="AB56" i="7"/>
  <c r="AB57" i="7"/>
  <c r="AB58" i="7"/>
  <c r="AB38" i="7"/>
  <c r="AB39" i="7"/>
  <c r="AB40" i="7"/>
  <c r="AB41" i="7"/>
  <c r="AB42" i="7"/>
  <c r="AB43" i="7"/>
  <c r="AB37" i="7"/>
  <c r="AD58" i="7" l="1"/>
  <c r="AD48" i="7"/>
  <c r="AD57" i="7"/>
  <c r="AD41" i="7"/>
  <c r="AD49" i="7"/>
  <c r="AD50" i="7"/>
  <c r="AD52" i="7"/>
  <c r="AD59" i="7"/>
  <c r="AD60" i="7"/>
  <c r="AD37" i="7"/>
  <c r="AD54" i="7"/>
  <c r="AD46" i="7"/>
  <c r="AD39" i="7"/>
  <c r="AD47" i="7"/>
  <c r="AD56" i="7"/>
  <c r="AB116" i="7"/>
  <c r="AD116" i="7" s="1"/>
  <c r="AB115" i="7"/>
  <c r="AD115" i="7" s="1"/>
  <c r="AB114" i="7"/>
  <c r="AD114" i="7" s="1"/>
  <c r="AD113" i="7"/>
  <c r="AD112" i="7"/>
  <c r="AC28" i="7"/>
  <c r="AC27" i="7"/>
  <c r="AC26" i="7"/>
  <c r="AD32" i="7"/>
  <c r="AD33" i="7"/>
  <c r="AC25" i="7"/>
  <c r="AD25" i="7" s="1"/>
  <c r="AC24" i="7"/>
  <c r="AD24" i="7" s="1"/>
  <c r="AC23" i="7"/>
  <c r="AD23" i="7" s="1"/>
  <c r="AC22" i="7"/>
  <c r="AC21" i="7"/>
  <c r="AD21" i="7" s="1"/>
  <c r="AC20" i="7"/>
  <c r="AC19" i="7"/>
  <c r="AC18" i="7"/>
  <c r="AC17" i="7"/>
  <c r="AB22" i="7"/>
  <c r="AB21" i="7"/>
  <c r="AB20" i="7"/>
  <c r="AD22" i="7" l="1"/>
  <c r="AD20" i="7"/>
  <c r="AD28" i="7"/>
  <c r="AB31" i="7"/>
  <c r="AD31" i="7" s="1"/>
  <c r="AB30" i="7"/>
  <c r="AD30" i="7" s="1"/>
  <c r="AB29" i="7"/>
  <c r="AD29" i="7" s="1"/>
  <c r="AB36" i="7"/>
  <c r="AD36" i="7" s="1"/>
  <c r="AB35" i="7"/>
  <c r="AD35" i="7" s="1"/>
  <c r="AB34" i="7"/>
  <c r="AD34" i="7" s="1"/>
  <c r="AB28" i="7"/>
  <c r="AB27" i="7"/>
  <c r="AD27" i="7" s="1"/>
  <c r="AB26" i="7"/>
  <c r="AD26" i="7" s="1"/>
  <c r="AB19" i="7"/>
  <c r="AD19" i="7" s="1"/>
  <c r="AB18" i="7"/>
  <c r="AD18" i="7" s="1"/>
  <c r="AB17" i="7" l="1"/>
  <c r="AD17" i="7" s="1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D16" i="5"/>
  <c r="E627" i="7"/>
  <c r="C627" i="7"/>
  <c r="E626" i="7"/>
  <c r="C626" i="7"/>
  <c r="E625" i="7"/>
  <c r="C625" i="7"/>
  <c r="E624" i="7"/>
  <c r="C624" i="7"/>
  <c r="E623" i="7"/>
  <c r="C623" i="7"/>
  <c r="E622" i="7"/>
  <c r="C622" i="7"/>
  <c r="E621" i="7"/>
  <c r="C621" i="7"/>
  <c r="E620" i="7"/>
  <c r="C620" i="7"/>
  <c r="E619" i="7"/>
  <c r="C619" i="7"/>
  <c r="E618" i="7"/>
  <c r="C618" i="7"/>
  <c r="E617" i="7"/>
  <c r="C617" i="7"/>
  <c r="E616" i="7"/>
  <c r="C616" i="7"/>
  <c r="E615" i="7"/>
  <c r="C615" i="7"/>
  <c r="E614" i="7"/>
  <c r="C614" i="7"/>
  <c r="E613" i="7"/>
  <c r="C613" i="7"/>
  <c r="E612" i="7"/>
  <c r="C612" i="7"/>
  <c r="E611" i="7"/>
  <c r="C611" i="7"/>
  <c r="E610" i="7"/>
  <c r="C610" i="7"/>
  <c r="E609" i="7"/>
  <c r="C609" i="7"/>
  <c r="E608" i="7"/>
  <c r="C608" i="7"/>
  <c r="E607" i="7"/>
  <c r="C607" i="7"/>
  <c r="E606" i="7"/>
  <c r="C606" i="7"/>
  <c r="E605" i="7"/>
  <c r="C605" i="7"/>
  <c r="E604" i="7"/>
  <c r="C604" i="7"/>
  <c r="E603" i="7"/>
  <c r="C603" i="7"/>
  <c r="E602" i="7"/>
  <c r="C602" i="7"/>
  <c r="E601" i="7"/>
  <c r="C601" i="7"/>
  <c r="E600" i="7"/>
  <c r="C600" i="7"/>
  <c r="E599" i="7"/>
  <c r="C599" i="7"/>
  <c r="E598" i="7"/>
  <c r="C598" i="7"/>
  <c r="E597" i="7"/>
  <c r="C597" i="7"/>
  <c r="E596" i="7"/>
  <c r="C596" i="7"/>
  <c r="E595" i="7"/>
  <c r="C595" i="7"/>
  <c r="E594" i="7"/>
  <c r="C594" i="7"/>
  <c r="E593" i="7"/>
  <c r="C593" i="7"/>
  <c r="E592" i="7"/>
  <c r="C592" i="7"/>
  <c r="E591" i="7"/>
  <c r="C591" i="7"/>
  <c r="E590" i="7"/>
  <c r="C590" i="7"/>
  <c r="E589" i="7"/>
  <c r="C589" i="7"/>
  <c r="E588" i="7"/>
  <c r="C588" i="7"/>
  <c r="E587" i="7"/>
  <c r="C587" i="7"/>
  <c r="E586" i="7"/>
  <c r="C586" i="7"/>
  <c r="E585" i="7"/>
  <c r="C585" i="7"/>
  <c r="E584" i="7"/>
  <c r="C584" i="7"/>
  <c r="E583" i="7"/>
  <c r="C583" i="7"/>
  <c r="E582" i="7"/>
  <c r="C582" i="7"/>
  <c r="E581" i="7"/>
  <c r="C581" i="7"/>
  <c r="E580" i="7"/>
  <c r="C580" i="7"/>
  <c r="E579" i="7"/>
  <c r="C579" i="7"/>
  <c r="E578" i="7"/>
  <c r="C578" i="7"/>
  <c r="E577" i="7"/>
  <c r="C577" i="7"/>
  <c r="E576" i="7"/>
  <c r="C576" i="7"/>
  <c r="E575" i="7"/>
  <c r="C575" i="7"/>
  <c r="E574" i="7"/>
  <c r="C574" i="7"/>
  <c r="E573" i="7"/>
  <c r="C573" i="7"/>
  <c r="E572" i="7"/>
  <c r="C572" i="7"/>
  <c r="E571" i="7"/>
  <c r="C571" i="7"/>
  <c r="E570" i="7"/>
  <c r="C570" i="7"/>
  <c r="E569" i="7"/>
  <c r="C569" i="7"/>
  <c r="E568" i="7"/>
  <c r="C568" i="7"/>
  <c r="E567" i="7"/>
  <c r="C567" i="7"/>
  <c r="E566" i="7"/>
  <c r="C566" i="7"/>
  <c r="E565" i="7"/>
  <c r="C565" i="7"/>
  <c r="E564" i="7"/>
  <c r="C564" i="7"/>
  <c r="E563" i="7"/>
  <c r="C563" i="7"/>
  <c r="E562" i="7"/>
  <c r="C562" i="7"/>
  <c r="E561" i="7"/>
  <c r="C561" i="7"/>
  <c r="E560" i="7"/>
  <c r="C560" i="7"/>
  <c r="E555" i="7"/>
  <c r="C555" i="7"/>
  <c r="E554" i="7"/>
  <c r="C554" i="7"/>
  <c r="E553" i="7"/>
  <c r="C553" i="7"/>
  <c r="E552" i="7"/>
  <c r="C552" i="7"/>
  <c r="E551" i="7"/>
  <c r="C551" i="7"/>
  <c r="E550" i="7"/>
  <c r="C550" i="7"/>
  <c r="E549" i="7"/>
  <c r="C549" i="7"/>
  <c r="E548" i="7"/>
  <c r="C548" i="7"/>
  <c r="E547" i="7"/>
  <c r="C547" i="7"/>
  <c r="E546" i="7"/>
  <c r="C546" i="7"/>
  <c r="E545" i="7"/>
  <c r="C545" i="7"/>
  <c r="E544" i="7"/>
  <c r="C544" i="7"/>
  <c r="E543" i="7"/>
  <c r="C543" i="7"/>
  <c r="E542" i="7"/>
  <c r="C542" i="7"/>
  <c r="E541" i="7"/>
  <c r="C541" i="7"/>
  <c r="E540" i="7"/>
  <c r="C540" i="7"/>
  <c r="E539" i="7"/>
  <c r="C539" i="7"/>
  <c r="E538" i="7"/>
  <c r="C538" i="7"/>
  <c r="E537" i="7"/>
  <c r="C537" i="7"/>
  <c r="E536" i="7"/>
  <c r="C536" i="7"/>
  <c r="E535" i="7"/>
  <c r="C535" i="7"/>
  <c r="E534" i="7"/>
  <c r="C534" i="7"/>
  <c r="E533" i="7"/>
  <c r="C533" i="7"/>
  <c r="E532" i="7"/>
  <c r="C532" i="7"/>
  <c r="E531" i="7"/>
  <c r="C531" i="7"/>
  <c r="E530" i="7"/>
  <c r="C530" i="7"/>
  <c r="E529" i="7"/>
  <c r="C529" i="7"/>
  <c r="E528" i="7"/>
  <c r="C528" i="7"/>
  <c r="E527" i="7"/>
  <c r="C527" i="7"/>
  <c r="E526" i="7"/>
  <c r="C526" i="7"/>
  <c r="E525" i="7"/>
  <c r="C525" i="7"/>
  <c r="E524" i="7"/>
  <c r="C524" i="7"/>
  <c r="E523" i="7"/>
  <c r="C523" i="7"/>
  <c r="E522" i="7"/>
  <c r="C522" i="7"/>
  <c r="E521" i="7"/>
  <c r="C521" i="7"/>
  <c r="E520" i="7"/>
  <c r="C520" i="7"/>
  <c r="E519" i="7"/>
  <c r="C519" i="7"/>
  <c r="E518" i="7"/>
  <c r="C518" i="7"/>
  <c r="E517" i="7"/>
  <c r="C517" i="7"/>
  <c r="E516" i="7"/>
  <c r="C516" i="7"/>
  <c r="E515" i="7"/>
  <c r="C515" i="7"/>
  <c r="E514" i="7"/>
  <c r="C514" i="7"/>
  <c r="E513" i="7"/>
  <c r="C513" i="7"/>
  <c r="E512" i="7"/>
  <c r="C512" i="7"/>
  <c r="E511" i="7"/>
  <c r="C511" i="7"/>
  <c r="E510" i="7"/>
  <c r="C510" i="7"/>
  <c r="E509" i="7"/>
  <c r="C509" i="7"/>
  <c r="E508" i="7"/>
  <c r="C508" i="7"/>
  <c r="E507" i="7"/>
  <c r="C507" i="7"/>
  <c r="E506" i="7"/>
  <c r="C506" i="7"/>
  <c r="E505" i="7"/>
  <c r="C505" i="7"/>
  <c r="E504" i="7"/>
  <c r="C504" i="7"/>
  <c r="E503" i="7"/>
  <c r="C503" i="7"/>
  <c r="E502" i="7"/>
  <c r="C502" i="7"/>
  <c r="E501" i="7"/>
  <c r="C501" i="7"/>
  <c r="E500" i="7"/>
  <c r="C500" i="7"/>
  <c r="E499" i="7"/>
  <c r="C499" i="7"/>
  <c r="E498" i="7"/>
  <c r="C498" i="7"/>
  <c r="E497" i="7"/>
  <c r="C497" i="7"/>
  <c r="E496" i="7"/>
  <c r="C496" i="7"/>
  <c r="E495" i="7"/>
  <c r="C495" i="7"/>
  <c r="E494" i="7"/>
  <c r="C494" i="7"/>
  <c r="E493" i="7"/>
  <c r="C493" i="7"/>
  <c r="E492" i="7"/>
  <c r="C492" i="7"/>
  <c r="E491" i="7"/>
  <c r="C491" i="7"/>
  <c r="E490" i="7"/>
  <c r="C490" i="7"/>
  <c r="E489" i="7"/>
  <c r="C489" i="7"/>
  <c r="E488" i="7"/>
  <c r="C488" i="7"/>
  <c r="E482" i="7"/>
  <c r="C482" i="7"/>
  <c r="E481" i="7"/>
  <c r="C481" i="7"/>
  <c r="E480" i="7"/>
  <c r="C480" i="7"/>
  <c r="E479" i="7"/>
  <c r="C479" i="7"/>
  <c r="E478" i="7"/>
  <c r="C478" i="7"/>
  <c r="E477" i="7"/>
  <c r="C477" i="7"/>
  <c r="E476" i="7"/>
  <c r="C476" i="7"/>
  <c r="E475" i="7"/>
  <c r="C475" i="7"/>
  <c r="E474" i="7"/>
  <c r="C474" i="7"/>
  <c r="E473" i="7"/>
  <c r="C473" i="7"/>
  <c r="E472" i="7"/>
  <c r="C472" i="7"/>
  <c r="E471" i="7"/>
  <c r="C471" i="7"/>
  <c r="E470" i="7"/>
  <c r="C470" i="7"/>
  <c r="E469" i="7"/>
  <c r="C469" i="7"/>
  <c r="E468" i="7"/>
  <c r="C468" i="7"/>
  <c r="E467" i="7"/>
  <c r="C467" i="7"/>
  <c r="E466" i="7"/>
  <c r="C466" i="7"/>
  <c r="E465" i="7"/>
  <c r="C465" i="7"/>
  <c r="E464" i="7"/>
  <c r="C464" i="7"/>
  <c r="E463" i="7"/>
  <c r="C463" i="7"/>
  <c r="E462" i="7"/>
  <c r="C462" i="7"/>
  <c r="E461" i="7"/>
  <c r="C461" i="7"/>
  <c r="E460" i="7"/>
  <c r="C460" i="7"/>
  <c r="E459" i="7"/>
  <c r="C459" i="7"/>
  <c r="E458" i="7"/>
  <c r="C458" i="7"/>
  <c r="E457" i="7"/>
  <c r="C457" i="7"/>
  <c r="E456" i="7"/>
  <c r="C456" i="7"/>
  <c r="E455" i="7"/>
  <c r="C455" i="7"/>
  <c r="E454" i="7"/>
  <c r="C454" i="7"/>
  <c r="E453" i="7"/>
  <c r="C453" i="7"/>
  <c r="E452" i="7"/>
  <c r="C452" i="7"/>
  <c r="E451" i="7"/>
  <c r="C451" i="7"/>
  <c r="E450" i="7"/>
  <c r="C450" i="7"/>
  <c r="E449" i="7"/>
  <c r="C449" i="7"/>
  <c r="E448" i="7"/>
  <c r="C448" i="7"/>
  <c r="E447" i="7"/>
  <c r="C447" i="7"/>
  <c r="E446" i="7"/>
  <c r="C446" i="7"/>
  <c r="E445" i="7"/>
  <c r="C445" i="7"/>
  <c r="E444" i="7"/>
  <c r="C444" i="7"/>
  <c r="E443" i="7"/>
  <c r="C443" i="7"/>
  <c r="E442" i="7"/>
  <c r="C442" i="7"/>
  <c r="E441" i="7"/>
  <c r="C441" i="7"/>
  <c r="E440" i="7"/>
  <c r="C440" i="7"/>
  <c r="E439" i="7"/>
  <c r="C439" i="7"/>
  <c r="E438" i="7"/>
  <c r="C438" i="7"/>
  <c r="E437" i="7"/>
  <c r="C437" i="7"/>
  <c r="E436" i="7"/>
  <c r="C436" i="7"/>
  <c r="E435" i="7"/>
  <c r="C435" i="7"/>
  <c r="E434" i="7"/>
  <c r="C434" i="7"/>
  <c r="E433" i="7"/>
  <c r="C433" i="7"/>
  <c r="E432" i="7"/>
  <c r="C432" i="7"/>
  <c r="E431" i="7"/>
  <c r="C431" i="7"/>
  <c r="E430" i="7"/>
  <c r="C430" i="7"/>
  <c r="E429" i="7"/>
  <c r="C429" i="7"/>
  <c r="E428" i="7"/>
  <c r="C428" i="7"/>
  <c r="E427" i="7"/>
  <c r="C427" i="7"/>
  <c r="E426" i="7"/>
  <c r="C426" i="7"/>
  <c r="E425" i="7"/>
  <c r="C425" i="7"/>
  <c r="E424" i="7"/>
  <c r="C424" i="7"/>
  <c r="E423" i="7"/>
  <c r="C423" i="7"/>
  <c r="E422" i="7"/>
  <c r="C422" i="7"/>
  <c r="E421" i="7"/>
  <c r="C421" i="7"/>
  <c r="E420" i="7"/>
  <c r="C420" i="7"/>
  <c r="E419" i="7"/>
  <c r="C419" i="7"/>
  <c r="E418" i="7"/>
  <c r="C418" i="7"/>
  <c r="E417" i="7"/>
  <c r="C417" i="7"/>
  <c r="E416" i="7"/>
  <c r="C416" i="7"/>
  <c r="E415" i="7"/>
  <c r="C415" i="7"/>
  <c r="E414" i="7"/>
  <c r="C414" i="7"/>
  <c r="E413" i="7"/>
  <c r="C413" i="7"/>
  <c r="E406" i="7"/>
  <c r="C406" i="7"/>
  <c r="E405" i="7"/>
  <c r="C405" i="7"/>
  <c r="E404" i="7"/>
  <c r="C404" i="7"/>
  <c r="E403" i="7"/>
  <c r="C403" i="7"/>
  <c r="E402" i="7"/>
  <c r="C402" i="7"/>
  <c r="E401" i="7"/>
  <c r="C401" i="7"/>
  <c r="E400" i="7"/>
  <c r="C400" i="7"/>
  <c r="E399" i="7"/>
  <c r="C399" i="7"/>
  <c r="E398" i="7"/>
  <c r="C398" i="7"/>
  <c r="E397" i="7"/>
  <c r="C397" i="7"/>
  <c r="E396" i="7"/>
  <c r="C396" i="7"/>
  <c r="E395" i="7"/>
  <c r="C395" i="7"/>
  <c r="E394" i="7"/>
  <c r="C394" i="7"/>
  <c r="E393" i="7"/>
  <c r="C393" i="7"/>
  <c r="E392" i="7"/>
  <c r="C392" i="7"/>
  <c r="E391" i="7"/>
  <c r="C391" i="7"/>
  <c r="E390" i="7"/>
  <c r="C390" i="7"/>
  <c r="E389" i="7"/>
  <c r="C389" i="7"/>
  <c r="E388" i="7"/>
  <c r="C388" i="7"/>
  <c r="E387" i="7"/>
  <c r="C387" i="7"/>
  <c r="E386" i="7"/>
  <c r="C386" i="7"/>
  <c r="E385" i="7"/>
  <c r="C385" i="7"/>
  <c r="E384" i="7"/>
  <c r="C384" i="7"/>
  <c r="E383" i="7"/>
  <c r="C383" i="7"/>
  <c r="E382" i="7"/>
  <c r="C382" i="7"/>
  <c r="E381" i="7"/>
  <c r="C381" i="7"/>
  <c r="E380" i="7"/>
  <c r="C380" i="7"/>
  <c r="E379" i="7"/>
  <c r="C379" i="7"/>
  <c r="E378" i="7"/>
  <c r="C378" i="7"/>
  <c r="E377" i="7"/>
  <c r="C377" i="7"/>
  <c r="E376" i="7"/>
  <c r="C376" i="7"/>
  <c r="E375" i="7"/>
  <c r="C375" i="7"/>
  <c r="E374" i="7"/>
  <c r="C374" i="7"/>
  <c r="E373" i="7"/>
  <c r="C373" i="7"/>
  <c r="E372" i="7"/>
  <c r="C372" i="7"/>
  <c r="E371" i="7"/>
  <c r="C371" i="7"/>
  <c r="E370" i="7"/>
  <c r="C370" i="7"/>
  <c r="E369" i="7"/>
  <c r="C369" i="7"/>
  <c r="E368" i="7"/>
  <c r="C368" i="7"/>
  <c r="E367" i="7"/>
  <c r="C367" i="7"/>
  <c r="E366" i="7"/>
  <c r="C366" i="7"/>
  <c r="E365" i="7"/>
  <c r="C365" i="7"/>
  <c r="E364" i="7"/>
  <c r="C364" i="7"/>
  <c r="E363" i="7"/>
  <c r="C363" i="7"/>
  <c r="E362" i="7"/>
  <c r="C362" i="7"/>
  <c r="E361" i="7"/>
  <c r="C361" i="7"/>
  <c r="E360" i="7"/>
  <c r="C360" i="7"/>
  <c r="E359" i="7"/>
  <c r="C359" i="7"/>
  <c r="E358" i="7"/>
  <c r="C358" i="7"/>
  <c r="E357" i="7"/>
  <c r="C357" i="7"/>
  <c r="E356" i="7"/>
  <c r="C356" i="7"/>
  <c r="E355" i="7"/>
  <c r="C355" i="7"/>
  <c r="E354" i="7"/>
  <c r="C354" i="7"/>
  <c r="E353" i="7"/>
  <c r="C353" i="7"/>
  <c r="E352" i="7"/>
  <c r="C352" i="7"/>
  <c r="E351" i="7"/>
  <c r="C351" i="7"/>
  <c r="E350" i="7"/>
  <c r="C350" i="7"/>
  <c r="E349" i="7"/>
  <c r="C349" i="7"/>
  <c r="E348" i="7"/>
  <c r="C348" i="7"/>
  <c r="E347" i="7"/>
  <c r="C347" i="7"/>
  <c r="E346" i="7"/>
  <c r="C346" i="7"/>
  <c r="E345" i="7"/>
  <c r="C345" i="7"/>
  <c r="E344" i="7"/>
  <c r="C344" i="7"/>
  <c r="E343" i="7"/>
  <c r="C343" i="7"/>
  <c r="E342" i="7"/>
  <c r="C342" i="7"/>
  <c r="E341" i="7"/>
  <c r="C341" i="7"/>
  <c r="E340" i="7"/>
  <c r="C340" i="7"/>
  <c r="E339" i="7"/>
  <c r="C339" i="7"/>
  <c r="E333" i="7"/>
  <c r="C333" i="7"/>
  <c r="E332" i="7"/>
  <c r="C332" i="7"/>
  <c r="E331" i="7"/>
  <c r="C331" i="7"/>
  <c r="E330" i="7"/>
  <c r="C330" i="7"/>
  <c r="E329" i="7"/>
  <c r="C329" i="7"/>
  <c r="E328" i="7"/>
  <c r="C328" i="7"/>
  <c r="E327" i="7"/>
  <c r="C327" i="7"/>
  <c r="E326" i="7"/>
  <c r="C326" i="7"/>
  <c r="E325" i="7"/>
  <c r="C325" i="7"/>
  <c r="E324" i="7"/>
  <c r="C324" i="7"/>
  <c r="E323" i="7"/>
  <c r="C323" i="7"/>
  <c r="E322" i="7"/>
  <c r="C322" i="7"/>
  <c r="E321" i="7"/>
  <c r="C321" i="7"/>
  <c r="E320" i="7"/>
  <c r="C320" i="7"/>
  <c r="E319" i="7"/>
  <c r="C319" i="7"/>
  <c r="E318" i="7"/>
  <c r="C318" i="7"/>
  <c r="E317" i="7"/>
  <c r="C317" i="7"/>
  <c r="E316" i="7"/>
  <c r="C316" i="7"/>
  <c r="E315" i="7"/>
  <c r="C315" i="7"/>
  <c r="E314" i="7"/>
  <c r="C314" i="7"/>
  <c r="E313" i="7"/>
  <c r="C313" i="7"/>
  <c r="E312" i="7"/>
  <c r="C312" i="7"/>
  <c r="E311" i="7"/>
  <c r="C311" i="7"/>
  <c r="E310" i="7"/>
  <c r="C310" i="7"/>
  <c r="E309" i="7"/>
  <c r="C309" i="7"/>
  <c r="E308" i="7"/>
  <c r="C308" i="7"/>
  <c r="E307" i="7"/>
  <c r="C307" i="7"/>
  <c r="E306" i="7"/>
  <c r="C306" i="7"/>
  <c r="E305" i="7"/>
  <c r="C305" i="7"/>
  <c r="E304" i="7"/>
  <c r="C304" i="7"/>
  <c r="E303" i="7"/>
  <c r="C303" i="7"/>
  <c r="E302" i="7"/>
  <c r="C302" i="7"/>
  <c r="E301" i="7"/>
  <c r="C301" i="7"/>
  <c r="E300" i="7"/>
  <c r="C300" i="7"/>
  <c r="E299" i="7"/>
  <c r="C299" i="7"/>
  <c r="E298" i="7"/>
  <c r="C298" i="7"/>
  <c r="E297" i="7"/>
  <c r="C297" i="7"/>
  <c r="E296" i="7"/>
  <c r="C296" i="7"/>
  <c r="E295" i="7"/>
  <c r="C295" i="7"/>
  <c r="E294" i="7"/>
  <c r="C294" i="7"/>
  <c r="E293" i="7"/>
  <c r="C293" i="7"/>
  <c r="E292" i="7"/>
  <c r="C292" i="7"/>
  <c r="E291" i="7"/>
  <c r="C291" i="7"/>
  <c r="E290" i="7"/>
  <c r="C290" i="7"/>
  <c r="E289" i="7"/>
  <c r="C289" i="7"/>
  <c r="E288" i="7"/>
  <c r="C288" i="7"/>
  <c r="E287" i="7"/>
  <c r="C287" i="7"/>
  <c r="E286" i="7"/>
  <c r="C286" i="7"/>
  <c r="E285" i="7"/>
  <c r="C285" i="7"/>
  <c r="E284" i="7"/>
  <c r="C284" i="7"/>
  <c r="E283" i="7"/>
  <c r="C283" i="7"/>
  <c r="E282" i="7"/>
  <c r="C282" i="7"/>
  <c r="E281" i="7"/>
  <c r="C281" i="7"/>
  <c r="E280" i="7"/>
  <c r="C280" i="7"/>
  <c r="E279" i="7"/>
  <c r="C279" i="7"/>
  <c r="E278" i="7"/>
  <c r="C278" i="7"/>
  <c r="E277" i="7"/>
  <c r="C277" i="7"/>
  <c r="E276" i="7"/>
  <c r="C276" i="7"/>
  <c r="E275" i="7"/>
  <c r="C275" i="7"/>
  <c r="E274" i="7"/>
  <c r="C274" i="7"/>
  <c r="E273" i="7"/>
  <c r="C273" i="7"/>
  <c r="E272" i="7"/>
  <c r="C272" i="7"/>
  <c r="E271" i="7"/>
  <c r="C271" i="7"/>
  <c r="E270" i="7"/>
  <c r="C270" i="7"/>
  <c r="E269" i="7"/>
  <c r="C269" i="7"/>
  <c r="E268" i="7"/>
  <c r="C268" i="7"/>
  <c r="E267" i="7"/>
  <c r="C267" i="7"/>
  <c r="F262" i="7"/>
  <c r="B262" i="7"/>
  <c r="F261" i="7"/>
  <c r="B261" i="7"/>
  <c r="F260" i="7"/>
  <c r="B260" i="7"/>
  <c r="F259" i="7"/>
  <c r="B259" i="7"/>
  <c r="F258" i="7"/>
  <c r="B258" i="7"/>
  <c r="F257" i="7"/>
  <c r="B257" i="7"/>
  <c r="F256" i="7"/>
  <c r="B256" i="7"/>
  <c r="F255" i="7"/>
  <c r="B255" i="7"/>
  <c r="F254" i="7"/>
  <c r="B254" i="7"/>
  <c r="F253" i="7"/>
  <c r="B253" i="7"/>
  <c r="F252" i="7"/>
  <c r="B252" i="7"/>
  <c r="F251" i="7"/>
  <c r="B251" i="7"/>
  <c r="F250" i="7"/>
  <c r="B250" i="7"/>
  <c r="F249" i="7"/>
  <c r="B249" i="7"/>
  <c r="F248" i="7"/>
  <c r="B248" i="7"/>
  <c r="F247" i="7"/>
  <c r="B247" i="7"/>
  <c r="F246" i="7"/>
  <c r="B246" i="7"/>
  <c r="F245" i="7"/>
  <c r="B245" i="7"/>
  <c r="F244" i="7"/>
  <c r="B244" i="7"/>
  <c r="F243" i="7"/>
  <c r="B243" i="7"/>
  <c r="F242" i="7"/>
  <c r="B242" i="7"/>
  <c r="F241" i="7"/>
  <c r="B241" i="7"/>
  <c r="F240" i="7"/>
  <c r="B240" i="7"/>
  <c r="F239" i="7"/>
  <c r="B239" i="7"/>
  <c r="F238" i="7"/>
  <c r="B238" i="7"/>
  <c r="F237" i="7"/>
  <c r="B237" i="7"/>
  <c r="F236" i="7"/>
  <c r="B236" i="7"/>
  <c r="F235" i="7"/>
  <c r="B235" i="7"/>
  <c r="F234" i="7"/>
  <c r="B234" i="7"/>
  <c r="F233" i="7"/>
  <c r="B233" i="7"/>
  <c r="F232" i="7"/>
  <c r="B232" i="7"/>
  <c r="F231" i="7"/>
  <c r="B231" i="7"/>
  <c r="F230" i="7"/>
  <c r="B230" i="7"/>
  <c r="F229" i="7"/>
  <c r="B229" i="7"/>
  <c r="F228" i="7"/>
  <c r="B228" i="7"/>
  <c r="F227" i="7"/>
  <c r="B227" i="7"/>
  <c r="F226" i="7"/>
  <c r="B226" i="7"/>
  <c r="F225" i="7"/>
  <c r="B225" i="7"/>
  <c r="F224" i="7"/>
  <c r="B224" i="7"/>
  <c r="F223" i="7"/>
  <c r="B223" i="7"/>
  <c r="F222" i="7"/>
  <c r="B222" i="7"/>
  <c r="F221" i="7"/>
  <c r="B221" i="7"/>
  <c r="F220" i="7"/>
  <c r="B220" i="7"/>
  <c r="F219" i="7"/>
  <c r="B219" i="7"/>
  <c r="F218" i="7"/>
  <c r="B218" i="7"/>
  <c r="F217" i="7"/>
  <c r="B217" i="7"/>
  <c r="F216" i="7"/>
  <c r="B216" i="7"/>
  <c r="F215" i="7"/>
  <c r="B215" i="7"/>
  <c r="F214" i="7"/>
  <c r="B214" i="7"/>
  <c r="F213" i="7"/>
  <c r="B213" i="7"/>
  <c r="F212" i="7"/>
  <c r="B212" i="7"/>
  <c r="F211" i="7"/>
  <c r="B211" i="7"/>
  <c r="F210" i="7"/>
  <c r="B210" i="7"/>
  <c r="F209" i="7"/>
  <c r="B209" i="7"/>
  <c r="F208" i="7"/>
  <c r="B208" i="7"/>
  <c r="F207" i="7"/>
  <c r="B207" i="7"/>
  <c r="F206" i="7"/>
  <c r="B206" i="7"/>
  <c r="F205" i="7"/>
  <c r="B205" i="7"/>
  <c r="F204" i="7"/>
  <c r="B204" i="7"/>
  <c r="F203" i="7"/>
  <c r="B203" i="7"/>
  <c r="F202" i="7"/>
  <c r="B202" i="7"/>
  <c r="F201" i="7"/>
  <c r="B201" i="7"/>
  <c r="F200" i="7"/>
  <c r="B200" i="7"/>
  <c r="F199" i="7"/>
  <c r="B199" i="7"/>
  <c r="E195" i="7"/>
  <c r="C195" i="7"/>
  <c r="E194" i="7"/>
  <c r="C194" i="7"/>
  <c r="E193" i="7"/>
  <c r="C193" i="7"/>
  <c r="E192" i="7"/>
  <c r="C192" i="7"/>
  <c r="E191" i="7"/>
  <c r="C191" i="7"/>
  <c r="E190" i="7"/>
  <c r="C190" i="7"/>
  <c r="E189" i="7"/>
  <c r="C189" i="7"/>
  <c r="E188" i="7"/>
  <c r="C188" i="7"/>
  <c r="E187" i="7"/>
  <c r="C187" i="7"/>
  <c r="E186" i="7"/>
  <c r="C186" i="7"/>
  <c r="E185" i="7"/>
  <c r="C185" i="7"/>
  <c r="E184" i="7"/>
  <c r="C184" i="7"/>
  <c r="E183" i="7"/>
  <c r="C183" i="7"/>
  <c r="E182" i="7"/>
  <c r="C182" i="7"/>
  <c r="E181" i="7"/>
  <c r="C181" i="7"/>
  <c r="E180" i="7"/>
  <c r="C180" i="7"/>
  <c r="E179" i="7"/>
  <c r="C179" i="7"/>
  <c r="E178" i="7"/>
  <c r="C178" i="7"/>
  <c r="E177" i="7"/>
  <c r="C177" i="7"/>
  <c r="E176" i="7"/>
  <c r="C176" i="7"/>
  <c r="E175" i="7"/>
  <c r="C175" i="7"/>
  <c r="E174" i="7"/>
  <c r="C174" i="7"/>
  <c r="E173" i="7"/>
  <c r="C173" i="7"/>
  <c r="E172" i="7"/>
  <c r="C172" i="7"/>
  <c r="E171" i="7"/>
  <c r="C171" i="7"/>
  <c r="E170" i="7"/>
  <c r="C170" i="7"/>
  <c r="E169" i="7"/>
  <c r="C169" i="7"/>
  <c r="E168" i="7"/>
  <c r="C168" i="7"/>
  <c r="E167" i="7"/>
  <c r="C167" i="7"/>
  <c r="E166" i="7"/>
  <c r="C166" i="7"/>
  <c r="E165" i="7"/>
  <c r="C165" i="7"/>
  <c r="E164" i="7"/>
  <c r="C164" i="7"/>
  <c r="E163" i="7"/>
  <c r="C163" i="7"/>
  <c r="E162" i="7"/>
  <c r="C162" i="7"/>
  <c r="E161" i="7"/>
  <c r="C161" i="7"/>
  <c r="E160" i="7"/>
  <c r="C160" i="7"/>
  <c r="E159" i="7"/>
  <c r="C159" i="7"/>
  <c r="E158" i="7"/>
  <c r="C158" i="7"/>
  <c r="E157" i="7"/>
  <c r="C157" i="7"/>
  <c r="E156" i="7"/>
  <c r="C156" i="7"/>
  <c r="E155" i="7"/>
  <c r="C155" i="7"/>
  <c r="E154" i="7"/>
  <c r="C154" i="7"/>
  <c r="E153" i="7"/>
  <c r="C153" i="7"/>
  <c r="E152" i="7"/>
  <c r="C152" i="7"/>
  <c r="E151" i="7"/>
  <c r="C151" i="7"/>
  <c r="E150" i="7"/>
  <c r="C150" i="7"/>
  <c r="E149" i="7"/>
  <c r="C149" i="7"/>
  <c r="E148" i="7"/>
  <c r="C148" i="7"/>
  <c r="E147" i="7"/>
  <c r="C147" i="7"/>
  <c r="E146" i="7"/>
  <c r="C146" i="7"/>
  <c r="E145" i="7"/>
  <c r="C145" i="7"/>
  <c r="E144" i="7"/>
  <c r="C144" i="7"/>
  <c r="E143" i="7"/>
  <c r="C143" i="7"/>
  <c r="E142" i="7"/>
  <c r="C142" i="7"/>
  <c r="E141" i="7"/>
  <c r="C141" i="7"/>
  <c r="E140" i="7"/>
  <c r="C140" i="7"/>
  <c r="E139" i="7"/>
  <c r="C139" i="7"/>
  <c r="E138" i="7"/>
  <c r="C138" i="7"/>
  <c r="E137" i="7"/>
  <c r="C137" i="7"/>
  <c r="E136" i="7"/>
  <c r="C136" i="7"/>
  <c r="E135" i="7"/>
  <c r="C135" i="7"/>
  <c r="E134" i="7"/>
  <c r="C134" i="7"/>
  <c r="E133" i="7"/>
  <c r="C133" i="7"/>
  <c r="E132" i="7"/>
  <c r="C132" i="7"/>
  <c r="E131" i="7"/>
  <c r="C131" i="7"/>
  <c r="E130" i="7"/>
  <c r="C130" i="7"/>
  <c r="E129" i="7"/>
  <c r="C129" i="7"/>
  <c r="E128" i="7"/>
  <c r="C128" i="7"/>
  <c r="E127" i="7"/>
  <c r="C127" i="7"/>
  <c r="E126" i="7"/>
  <c r="C126" i="7"/>
  <c r="E121" i="7"/>
  <c r="C121" i="7"/>
  <c r="E120" i="7"/>
  <c r="C120" i="7"/>
  <c r="E119" i="7"/>
  <c r="C119" i="7"/>
  <c r="E118" i="7"/>
  <c r="C118" i="7"/>
  <c r="E117" i="7"/>
  <c r="C117" i="7"/>
  <c r="E116" i="7"/>
  <c r="C116" i="7"/>
  <c r="E115" i="7"/>
  <c r="C115" i="7"/>
  <c r="E114" i="7"/>
  <c r="C114" i="7"/>
  <c r="E113" i="7"/>
  <c r="C113" i="7"/>
  <c r="E112" i="7"/>
  <c r="C112" i="7"/>
  <c r="E111" i="7"/>
  <c r="C111" i="7"/>
  <c r="E110" i="7"/>
  <c r="C110" i="7"/>
  <c r="E109" i="7"/>
  <c r="C109" i="7"/>
  <c r="E108" i="7"/>
  <c r="C108" i="7"/>
  <c r="E107" i="7"/>
  <c r="C107" i="7"/>
  <c r="E106" i="7"/>
  <c r="C106" i="7"/>
  <c r="E105" i="7"/>
  <c r="C105" i="7"/>
  <c r="E104" i="7"/>
  <c r="C104" i="7"/>
  <c r="E103" i="7"/>
  <c r="C103" i="7"/>
  <c r="E102" i="7"/>
  <c r="C102" i="7"/>
  <c r="E101" i="7"/>
  <c r="C101" i="7"/>
  <c r="E100" i="7"/>
  <c r="C100" i="7"/>
  <c r="E99" i="7"/>
  <c r="C99" i="7"/>
  <c r="E98" i="7"/>
  <c r="C98" i="7"/>
  <c r="E97" i="7"/>
  <c r="C97" i="7"/>
  <c r="E96" i="7"/>
  <c r="C96" i="7"/>
  <c r="E95" i="7"/>
  <c r="C95" i="7"/>
  <c r="E94" i="7"/>
  <c r="C94" i="7"/>
  <c r="E93" i="7"/>
  <c r="C93" i="7"/>
  <c r="E92" i="7"/>
  <c r="C92" i="7"/>
  <c r="E91" i="7"/>
  <c r="C91" i="7"/>
  <c r="E90" i="7"/>
  <c r="C90" i="7"/>
  <c r="E89" i="7"/>
  <c r="C89" i="7"/>
  <c r="E88" i="7"/>
  <c r="C88" i="7"/>
  <c r="E87" i="7"/>
  <c r="C87" i="7"/>
  <c r="E86" i="7"/>
  <c r="C86" i="7"/>
  <c r="E85" i="7"/>
  <c r="C85" i="7"/>
  <c r="E84" i="7"/>
  <c r="C84" i="7"/>
  <c r="E83" i="7"/>
  <c r="C83" i="7"/>
  <c r="E82" i="7"/>
  <c r="C82" i="7"/>
  <c r="E81" i="7"/>
  <c r="C81" i="7"/>
  <c r="E80" i="7"/>
  <c r="C80" i="7"/>
  <c r="E79" i="7"/>
  <c r="C79" i="7"/>
  <c r="E78" i="7"/>
  <c r="C78" i="7"/>
  <c r="E77" i="7"/>
  <c r="C77" i="7"/>
  <c r="E76" i="7"/>
  <c r="C76" i="7"/>
  <c r="E75" i="7"/>
  <c r="C75" i="7"/>
  <c r="E74" i="7"/>
  <c r="C74" i="7"/>
  <c r="E73" i="7"/>
  <c r="C73" i="7"/>
  <c r="E72" i="7"/>
  <c r="C72" i="7"/>
  <c r="E71" i="7"/>
  <c r="C71" i="7"/>
  <c r="E70" i="7"/>
  <c r="C70" i="7"/>
  <c r="E69" i="7"/>
  <c r="C69" i="7"/>
  <c r="E68" i="7"/>
  <c r="C68" i="7"/>
  <c r="E67" i="7"/>
  <c r="C67" i="7"/>
  <c r="E66" i="7"/>
  <c r="C66" i="7"/>
  <c r="E65" i="7"/>
  <c r="C65" i="7"/>
  <c r="E64" i="7"/>
  <c r="C64" i="7"/>
  <c r="E63" i="7"/>
  <c r="C63" i="7"/>
  <c r="E62" i="7"/>
  <c r="C62" i="7"/>
  <c r="E61" i="7"/>
  <c r="C61" i="7"/>
  <c r="E60" i="7"/>
  <c r="C60" i="7"/>
  <c r="E59" i="7"/>
  <c r="C59" i="7"/>
  <c r="E58" i="7"/>
  <c r="C58" i="7"/>
  <c r="E57" i="7"/>
  <c r="C57" i="7"/>
  <c r="E56" i="7"/>
  <c r="C56" i="7"/>
  <c r="E55" i="7"/>
  <c r="C55" i="7"/>
  <c r="E54" i="7"/>
  <c r="C54" i="7"/>
  <c r="E53" i="7"/>
  <c r="C53" i="7"/>
  <c r="E52" i="7"/>
  <c r="C52" i="7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150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F72" i="9"/>
  <c r="D72" i="9"/>
  <c r="F71" i="9"/>
  <c r="D71" i="9"/>
  <c r="F70" i="9"/>
  <c r="D70" i="9"/>
  <c r="F69" i="9"/>
  <c r="D69" i="9"/>
  <c r="F68" i="9"/>
  <c r="D68" i="9"/>
  <c r="F67" i="9"/>
  <c r="D67" i="9"/>
  <c r="F66" i="9"/>
  <c r="D66" i="9"/>
  <c r="F65" i="9"/>
  <c r="D65" i="9"/>
  <c r="F64" i="9"/>
  <c r="D64" i="9"/>
  <c r="F63" i="9"/>
  <c r="D63" i="9"/>
  <c r="F62" i="9"/>
  <c r="D62" i="9"/>
  <c r="F61" i="9"/>
  <c r="D61" i="9"/>
  <c r="F60" i="9"/>
  <c r="D60" i="9"/>
  <c r="F59" i="9"/>
  <c r="D59" i="9"/>
  <c r="F58" i="9"/>
  <c r="D58" i="9"/>
  <c r="F57" i="9"/>
  <c r="D57" i="9"/>
  <c r="F56" i="9"/>
  <c r="D56" i="9"/>
  <c r="F55" i="9"/>
  <c r="D55" i="9"/>
  <c r="F54" i="9"/>
  <c r="D54" i="9"/>
  <c r="F53" i="9"/>
  <c r="D53" i="9"/>
  <c r="F52" i="9"/>
  <c r="D52" i="9"/>
  <c r="F51" i="9"/>
  <c r="D51" i="9"/>
  <c r="F50" i="9"/>
  <c r="D50" i="9"/>
  <c r="F49" i="9"/>
  <c r="D49" i="9"/>
  <c r="F48" i="9"/>
  <c r="D48" i="9"/>
  <c r="F47" i="9"/>
  <c r="D47" i="9"/>
  <c r="F46" i="9"/>
  <c r="D46" i="9"/>
  <c r="F45" i="9"/>
  <c r="D45" i="9"/>
  <c r="F44" i="9"/>
  <c r="D44" i="9"/>
  <c r="F43" i="9"/>
  <c r="D43" i="9"/>
  <c r="F42" i="9"/>
  <c r="D42" i="9"/>
  <c r="F41" i="9"/>
  <c r="D41" i="9"/>
  <c r="F40" i="9"/>
  <c r="D40" i="9"/>
  <c r="F39" i="9"/>
  <c r="D39" i="9"/>
  <c r="F38" i="9"/>
  <c r="D38" i="9"/>
  <c r="F37" i="9"/>
  <c r="D37" i="9"/>
  <c r="F36" i="9"/>
  <c r="D36" i="9"/>
  <c r="F35" i="9"/>
  <c r="D35" i="9"/>
  <c r="F34" i="9"/>
  <c r="D34" i="9"/>
  <c r="F33" i="9"/>
  <c r="D33" i="9"/>
  <c r="F32" i="9"/>
  <c r="D32" i="9"/>
  <c r="F31" i="9"/>
  <c r="D31" i="9"/>
  <c r="F30" i="9"/>
  <c r="D30" i="9"/>
  <c r="F29" i="9"/>
  <c r="D29" i="9"/>
  <c r="F28" i="9"/>
  <c r="D28" i="9"/>
  <c r="F27" i="9"/>
  <c r="D27" i="9"/>
  <c r="F26" i="9"/>
  <c r="D26" i="9"/>
  <c r="F25" i="9"/>
  <c r="D25" i="9"/>
  <c r="F24" i="9"/>
  <c r="D24" i="9"/>
  <c r="F23" i="9"/>
  <c r="D23" i="9"/>
  <c r="F22" i="9"/>
  <c r="D22" i="9"/>
  <c r="F21" i="9"/>
  <c r="D21" i="9"/>
  <c r="F20" i="9"/>
  <c r="D20" i="9"/>
  <c r="F19" i="9"/>
  <c r="D19" i="9"/>
  <c r="F18" i="9"/>
  <c r="D18" i="9"/>
  <c r="F17" i="9"/>
  <c r="D17" i="9"/>
  <c r="F16" i="9"/>
  <c r="D16" i="9"/>
  <c r="F15" i="9"/>
  <c r="D15" i="9"/>
  <c r="F14" i="9"/>
  <c r="D14" i="9"/>
  <c r="F13" i="9"/>
  <c r="D13" i="9"/>
  <c r="F12" i="9"/>
  <c r="D12" i="9"/>
  <c r="F11" i="9"/>
  <c r="D11" i="9"/>
  <c r="F10" i="9"/>
  <c r="D10" i="9"/>
  <c r="F9" i="9"/>
  <c r="D9" i="9"/>
  <c r="F8" i="9"/>
  <c r="D8" i="9"/>
  <c r="F7" i="9"/>
  <c r="D7" i="9"/>
  <c r="F6" i="9"/>
  <c r="D6" i="9"/>
  <c r="F5" i="9"/>
  <c r="D5" i="9"/>
  <c r="F4" i="9"/>
  <c r="D4" i="9"/>
  <c r="F3" i="9"/>
  <c r="D3" i="9"/>
  <c r="L251" i="1"/>
  <c r="K251" i="1"/>
  <c r="K250" i="1"/>
  <c r="K252" i="1" l="1"/>
  <c r="K39" i="6"/>
  <c r="O13" i="5"/>
  <c r="R11" i="5"/>
  <c r="J6" i="5"/>
  <c r="J7" i="5"/>
  <c r="J8" i="5"/>
  <c r="J9" i="5"/>
  <c r="J5" i="5"/>
  <c r="G6" i="5"/>
  <c r="E6" i="5"/>
  <c r="G9" i="5"/>
  <c r="E9" i="5"/>
  <c r="G8" i="5"/>
  <c r="E8" i="5"/>
  <c r="E7" i="5"/>
  <c r="E5" i="5"/>
  <c r="G7" i="5"/>
  <c r="G5" i="5"/>
  <c r="K16" i="6"/>
  <c r="K26" i="6"/>
  <c r="K27" i="6"/>
  <c r="K17" i="6"/>
  <c r="K19" i="6"/>
  <c r="K33" i="6"/>
  <c r="K12" i="6"/>
  <c r="K25" i="6"/>
  <c r="K14" i="6"/>
  <c r="K22" i="6"/>
  <c r="K10" i="6"/>
  <c r="K31" i="6"/>
  <c r="K15" i="6"/>
  <c r="K18" i="6"/>
  <c r="K34" i="6"/>
  <c r="K28" i="6"/>
  <c r="K29" i="6"/>
  <c r="K23" i="6"/>
  <c r="K20" i="6"/>
  <c r="K13" i="6"/>
  <c r="L53" i="1"/>
  <c r="K24" i="6"/>
  <c r="K32" i="6"/>
  <c r="K21" i="6"/>
  <c r="K30" i="6"/>
  <c r="L54" i="1"/>
  <c r="K9" i="6"/>
  <c r="K35" i="6"/>
  <c r="K11" i="6"/>
  <c r="I5" i="5" l="1"/>
  <c r="H5" i="5"/>
  <c r="I7" i="5"/>
  <c r="H7" i="5"/>
  <c r="I8" i="5"/>
  <c r="H8" i="5" s="1"/>
  <c r="I9" i="5"/>
  <c r="H9" i="5"/>
  <c r="I6" i="5"/>
  <c r="H6" i="5"/>
  <c r="L58" i="1"/>
  <c r="L57" i="1"/>
  <c r="L62" i="1"/>
  <c r="L56" i="1"/>
  <c r="L55" i="1"/>
  <c r="L60" i="1"/>
  <c r="L59" i="1"/>
  <c r="L63" i="1" s="1"/>
  <c r="L64" i="1"/>
  <c r="L61" i="1"/>
  <c r="L68" i="1"/>
  <c r="L67" i="1"/>
  <c r="L72" i="1" s="1"/>
  <c r="L66" i="1"/>
  <c r="L65" i="1"/>
  <c r="L70" i="1"/>
  <c r="L69" i="1"/>
  <c r="L73" i="1"/>
  <c r="L77" i="1" s="1"/>
  <c r="L74" i="1"/>
  <c r="L71" i="1"/>
  <c r="L75" i="1"/>
  <c r="L76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<sst xmlns="http://schemas.openxmlformats.org/spreadsheetml/2006/main" count="1889" uniqueCount="673">
  <si>
    <t>EMPRESA 1</t>
  </si>
  <si>
    <t>CIUDAD:</t>
  </si>
  <si>
    <t>REFRIGERANTE:</t>
  </si>
  <si>
    <t>DATOS RACK'S</t>
  </si>
  <si>
    <t>COMPRESORES</t>
  </si>
  <si>
    <t>TIPO DE RACK/S</t>
  </si>
  <si>
    <t># COMPRESORES MT</t>
  </si>
  <si>
    <t># COMPRESORES BT</t>
  </si>
  <si>
    <t>BT</t>
  </si>
  <si>
    <t>MT</t>
  </si>
  <si>
    <t>PRESIÓN [psig]</t>
  </si>
  <si>
    <t>TEMPERATURA [C]</t>
  </si>
  <si>
    <t>SET POINT</t>
  </si>
  <si>
    <t>SUCCIÓN PROMEDIO</t>
  </si>
  <si>
    <t>COMPRESORES BT</t>
  </si>
  <si>
    <t>COMPRESORES MT</t>
  </si>
  <si>
    <t>#</t>
  </si>
  <si>
    <t>REFERENCIA</t>
  </si>
  <si>
    <t>POTENCIA PROM. [kWe]</t>
  </si>
  <si>
    <t>COP</t>
  </si>
  <si>
    <t>% USO</t>
  </si>
  <si>
    <t>xxxx xxxx</t>
  </si>
  <si>
    <t>uuuu uuuu</t>
  </si>
  <si>
    <t>yyyy yyyy</t>
  </si>
  <si>
    <t>vvvv vvvv</t>
  </si>
  <si>
    <t>wwww wwww</t>
  </si>
  <si>
    <t>CONDENSADOR</t>
  </si>
  <si>
    <t>CONDENSACIÓN PROMEDIO</t>
  </si>
  <si>
    <t>MARCA</t>
  </si>
  <si>
    <t>%USO</t>
  </si>
  <si>
    <t>NEVERAS A RACK</t>
  </si>
  <si>
    <t># EQUIPOS BAJA TEMPERATURA</t>
  </si>
  <si>
    <t>HORA RETIRO CORTINAS</t>
  </si>
  <si>
    <t># EQUIPOS MEDIA TEMPERATURA</t>
  </si>
  <si>
    <t>HORA PUESTA CORTINAS</t>
  </si>
  <si>
    <t>BAJA TEMPERATURA</t>
  </si>
  <si>
    <t>TIPO EQUIPO</t>
  </si>
  <si>
    <t>USO</t>
  </si>
  <si>
    <t>LONG. (m/m3)</t>
  </si>
  <si>
    <t>¿TIENE PUERTAS?</t>
  </si>
  <si>
    <t>¿PUERTAS INSTALABLES?</t>
  </si>
  <si>
    <t>¿USA CORTINAS?</t>
  </si>
  <si>
    <t>¿SE REUTILIZA?</t>
  </si>
  <si>
    <t>DEFROST</t>
  </si>
  <si>
    <t>¿EQUIPO CON RESISTENCIAS?</t>
  </si>
  <si>
    <t>Potencia Frigorífica [kW]</t>
  </si>
  <si>
    <t>Vertical BT</t>
  </si>
  <si>
    <t>NO</t>
  </si>
  <si>
    <t>SI</t>
  </si>
  <si>
    <t>-</t>
  </si>
  <si>
    <t>MEDIA TEMPERATURA</t>
  </si>
  <si>
    <t>Vertical MT tipo Fruver con carritos (8°C)</t>
  </si>
  <si>
    <t>DATOS AUTOCONTENIDAS</t>
  </si>
  <si>
    <t>REFRIGERANTE</t>
  </si>
  <si>
    <t>ESTRATEGIAS DE AHORRO EN EQUIPOS CONECTADOS A RACK</t>
  </si>
  <si>
    <t>NUEVA PRESIÓN CONDENSACIÓN</t>
  </si>
  <si>
    <t>psig</t>
  </si>
  <si>
    <t>NUEVA PRESIÓN EVAPORACIÓN</t>
  </si>
  <si>
    <t>NUEVO REFRIGERANTE</t>
  </si>
  <si>
    <t>TIPO DEL NUEVO SISTEMA DE REFRIGERACIÓN</t>
  </si>
  <si>
    <t>EYECTORES?</t>
  </si>
  <si>
    <t>COMPRESOR PARALELO?</t>
  </si>
  <si>
    <t>VARIADOR DE VELOCIDAD?</t>
  </si>
  <si>
    <t>RESULTADO RACK</t>
  </si>
  <si>
    <t>ENERGÍA TÉRMICA</t>
  </si>
  <si>
    <t>ENERGÍA ELÉCTRICA</t>
  </si>
  <si>
    <t>BAJA TEMP.</t>
  </si>
  <si>
    <t>MEDIA TEMP.</t>
  </si>
  <si>
    <t>TOTAL</t>
  </si>
  <si>
    <t>NEVERAS</t>
  </si>
  <si>
    <t>RACK</t>
  </si>
  <si>
    <t>CARGA TÉRMICA DE DISEÑO [kW]</t>
  </si>
  <si>
    <t>CARGA ELÉCTRICA INICIAL [kW]</t>
  </si>
  <si>
    <t>CARGA TÉRMICA EN OPERACIÓN [kW]</t>
  </si>
  <si>
    <t>AHORRO POR PUERTAS [kW]</t>
  </si>
  <si>
    <t>AHORRO POR AJUSTE PRESIONES [kW]</t>
  </si>
  <si>
    <t>AHORRO POR CAMBIO TECNOLOGÍA [kW]</t>
  </si>
  <si>
    <t>AHORRO TOTAL [kW]</t>
  </si>
  <si>
    <t>AHORRO TOTAL [%]</t>
  </si>
  <si>
    <t>CARGA ELÉCTRICA DESPUÉS DE AHORROS [kW]</t>
  </si>
  <si>
    <t>CARGA TÉRMICA DESPUÉS DE AHOROS [kW]</t>
  </si>
  <si>
    <t>ESTRATEGÍAS DE AHORRO EN AUTOCONTENIDAS</t>
  </si>
  <si>
    <t>RESULTADO AUTOCONTENIDAS</t>
  </si>
  <si>
    <t>CALOR DE RECHAZO DE DISEÑO [kW]</t>
  </si>
  <si>
    <t>CALOR DE RECHAZO DESPUÉS DE AHORROS [kW]</t>
  </si>
  <si>
    <t>AHORRO TOTAL</t>
  </si>
  <si>
    <t>DATOS SISTEMA FUTURO</t>
  </si>
  <si>
    <t>¿PUERTAS INSTALADAS?</t>
  </si>
  <si>
    <t>¿EQUIPO REUTILIZADO?</t>
  </si>
  <si>
    <t>CARGA ELÉCTRICA</t>
  </si>
  <si>
    <t>DISMINUCIÓN CARGA ELÉCTRICA [%]</t>
  </si>
  <si>
    <t>DISMINUCIÓN CARGA TÉRMICA DE DISEÑO [%]</t>
  </si>
  <si>
    <t>DISMINUCIÓN CARGA TÉRMICA DE OPERACIÓN [%]</t>
  </si>
  <si>
    <t>ENERGÍA FRIGORÍFICA</t>
  </si>
  <si>
    <t>ACTUAL [kWhf]</t>
  </si>
  <si>
    <t>AHORRO [kWhf]</t>
  </si>
  <si>
    <t>AHORRO [%]</t>
  </si>
  <si>
    <t>ACTUAL [kWhe]</t>
  </si>
  <si>
    <t>AHORRO [kWhe]</t>
  </si>
  <si>
    <t>Calor Enfriamiento (Neveras)</t>
  </si>
  <si>
    <t>Energía Enfriamiento (Neveras)</t>
  </si>
  <si>
    <t>Calor Enfriamiento (Rack)</t>
  </si>
  <si>
    <t>Energía Enfriamiento (Rack)</t>
  </si>
  <si>
    <t>Calor de Rechazo</t>
  </si>
  <si>
    <t>Energía Condensador</t>
  </si>
  <si>
    <t>Energía otros Neveras</t>
  </si>
  <si>
    <t>ENERGIA PROMEDIO [kWhe/an]</t>
  </si>
  <si>
    <t>Código</t>
  </si>
  <si>
    <t>Cat</t>
  </si>
  <si>
    <t>Nombre Estación</t>
  </si>
  <si>
    <t>Municipio</t>
  </si>
  <si>
    <t>Departamento</t>
  </si>
  <si>
    <t>Altitud</t>
  </si>
  <si>
    <t>Latitud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</si>
  <si>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</si>
  <si>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</si>
  <si>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</si>
  <si>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</si>
  <si>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</si>
  <si>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</si>
  <si>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</si>
  <si>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</si>
  <si>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</si>
  <si>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</si>
  <si>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</si>
  <si>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</si>
  <si>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Te</t>
  </si>
  <si>
    <t>Tc</t>
  </si>
  <si>
    <t>Return T</t>
  </si>
  <si>
    <t>SH</t>
  </si>
  <si>
    <t>Comp SH</t>
  </si>
  <si>
    <t>SC</t>
  </si>
  <si>
    <t>Pele*</t>
  </si>
  <si>
    <t>P_active</t>
  </si>
  <si>
    <t>PF</t>
  </si>
  <si>
    <t>COP_theory</t>
  </si>
  <si>
    <t>COP_calc</t>
  </si>
  <si>
    <t>Comp Cap. [W]</t>
  </si>
  <si>
    <t>Ev Cap. [W]</t>
  </si>
  <si>
    <t xml:space="preserve">Power Ele [W] </t>
  </si>
  <si>
    <t>Comp COP</t>
  </si>
  <si>
    <t>Ev COP</t>
  </si>
  <si>
    <t>Flow rate [kg/h]</t>
  </si>
  <si>
    <t>Current</t>
  </si>
  <si>
    <t>s_eff</t>
  </si>
  <si>
    <t>Liquid T</t>
  </si>
  <si>
    <t>Disch T</t>
  </si>
  <si>
    <t>Cond. Inicial</t>
  </si>
  <si>
    <t>Tc +</t>
  </si>
  <si>
    <t>Tev -</t>
  </si>
  <si>
    <t>SC +</t>
  </si>
  <si>
    <t>SH -</t>
  </si>
  <si>
    <r>
      <rPr>
        <sz val="10"/>
        <rFont val="Arial MT"/>
        <family val="2"/>
      </rPr>
      <t>SP</t>
    </r>
  </si>
  <si>
    <r>
      <rPr>
        <sz val="10"/>
        <rFont val="Arial MT"/>
        <family val="2"/>
      </rPr>
      <t>Apto Vásquez Cobo</t>
    </r>
  </si>
  <si>
    <r>
      <rPr>
        <sz val="10"/>
        <rFont val="Arial MT"/>
        <family val="2"/>
      </rPr>
      <t>Leticia</t>
    </r>
  </si>
  <si>
    <r>
      <rPr>
        <sz val="10"/>
        <rFont val="Arial MT"/>
        <family val="2"/>
      </rPr>
      <t>Amazonas</t>
    </r>
  </si>
  <si>
    <r>
      <rPr>
        <sz val="10"/>
        <rFont val="Arial MT"/>
        <family val="2"/>
      </rPr>
      <t>Apto Olaya Herrera</t>
    </r>
  </si>
  <si>
    <r>
      <rPr>
        <sz val="10"/>
        <rFont val="Arial MT"/>
        <family val="2"/>
      </rPr>
      <t>Medellín</t>
    </r>
  </si>
  <si>
    <r>
      <rPr>
        <sz val="10"/>
        <rFont val="Arial MT"/>
        <family val="2"/>
      </rPr>
      <t>Antioquia</t>
    </r>
  </si>
  <si>
    <r>
      <rPr>
        <sz val="10"/>
        <rFont val="Arial MT"/>
        <family val="2"/>
      </rPr>
      <t>AM</t>
    </r>
  </si>
  <si>
    <r>
      <rPr>
        <sz val="10"/>
        <rFont val="Arial MT"/>
        <family val="2"/>
      </rPr>
      <t>Uniban</t>
    </r>
  </si>
  <si>
    <r>
      <rPr>
        <sz val="10"/>
        <rFont val="Arial MT"/>
        <family val="2"/>
      </rPr>
      <t>Apartado</t>
    </r>
  </si>
  <si>
    <r>
      <rPr>
        <sz val="10"/>
        <rFont val="Arial MT"/>
        <family val="2"/>
      </rPr>
      <t>Apto Arauca</t>
    </r>
  </si>
  <si>
    <r>
      <rPr>
        <sz val="10"/>
        <rFont val="Arial MT"/>
        <family val="2"/>
      </rPr>
      <t>Arauca</t>
    </r>
  </si>
  <si>
    <r>
      <rPr>
        <sz val="10"/>
        <rFont val="Arial MT"/>
        <family val="2"/>
      </rPr>
      <t>Apto E Cortissoz</t>
    </r>
  </si>
  <si>
    <r>
      <rPr>
        <sz val="10"/>
        <rFont val="Arial MT"/>
        <family val="2"/>
      </rPr>
      <t>Soledad</t>
    </r>
  </si>
  <si>
    <r>
      <rPr>
        <sz val="10"/>
        <rFont val="Arial MT"/>
        <family val="2"/>
      </rPr>
      <t>Atlántico</t>
    </r>
  </si>
  <si>
    <r>
      <rPr>
        <sz val="10"/>
        <rFont val="Arial MT"/>
        <family val="2"/>
      </rPr>
      <t>Apto Rafael Núñez</t>
    </r>
  </si>
  <si>
    <r>
      <rPr>
        <sz val="10"/>
        <rFont val="Arial MT"/>
        <family val="2"/>
      </rPr>
      <t>Cartagena</t>
    </r>
  </si>
  <si>
    <r>
      <rPr>
        <sz val="10"/>
        <rFont val="Arial MT"/>
        <family val="2"/>
      </rPr>
      <t>Bolívar</t>
    </r>
  </si>
  <si>
    <r>
      <rPr>
        <sz val="10"/>
        <rFont val="Arial MT"/>
        <family val="2"/>
      </rPr>
      <t>CP</t>
    </r>
  </si>
  <si>
    <r>
      <rPr>
        <sz val="10"/>
        <rFont val="Arial MT"/>
        <family val="2"/>
      </rPr>
      <t>U P T C</t>
    </r>
  </si>
  <si>
    <r>
      <rPr>
        <sz val="10"/>
        <rFont val="Arial MT"/>
        <family val="2"/>
      </rPr>
      <t>Tunja</t>
    </r>
  </si>
  <si>
    <r>
      <rPr>
        <sz val="10"/>
        <rFont val="Arial MT"/>
        <family val="2"/>
      </rPr>
      <t>Boyacá</t>
    </r>
  </si>
  <si>
    <r>
      <rPr>
        <sz val="10"/>
        <rFont val="Arial MT"/>
        <family val="2"/>
      </rPr>
      <t>Apto A Lleras C</t>
    </r>
  </si>
  <si>
    <r>
      <rPr>
        <sz val="10"/>
        <rFont val="Arial MT"/>
        <family val="2"/>
      </rPr>
      <t>Sogamoso</t>
    </r>
  </si>
  <si>
    <r>
      <rPr>
        <sz val="10"/>
        <rFont val="Arial MT"/>
        <family val="2"/>
      </rPr>
      <t>Apto La Nubia</t>
    </r>
  </si>
  <si>
    <r>
      <rPr>
        <sz val="10"/>
        <rFont val="Arial MT"/>
        <family val="2"/>
      </rPr>
      <t>Manizales</t>
    </r>
  </si>
  <si>
    <r>
      <rPr>
        <sz val="10"/>
        <rFont val="Arial MT"/>
        <family val="2"/>
      </rPr>
      <t>Caldas</t>
    </r>
  </si>
  <si>
    <r>
      <rPr>
        <sz val="10"/>
        <rFont val="Arial MT"/>
        <family val="2"/>
      </rPr>
      <t>SS</t>
    </r>
  </si>
  <si>
    <r>
      <rPr>
        <sz val="10"/>
        <rFont val="Arial MT"/>
        <family val="2"/>
      </rPr>
      <t>Apto G Artunduaga</t>
    </r>
  </si>
  <si>
    <r>
      <rPr>
        <sz val="10"/>
        <rFont val="Arial MT"/>
        <family val="2"/>
      </rPr>
      <t>Florencia</t>
    </r>
  </si>
  <si>
    <r>
      <rPr>
        <sz val="10"/>
        <rFont val="Arial MT"/>
        <family val="2"/>
      </rPr>
      <t>Caquetá</t>
    </r>
  </si>
  <si>
    <r>
      <rPr>
        <sz val="10"/>
        <rFont val="Arial MT"/>
        <family val="2"/>
      </rPr>
      <t>Apto Yopal</t>
    </r>
  </si>
  <si>
    <r>
      <rPr>
        <sz val="10"/>
        <rFont val="Arial MT"/>
        <family val="2"/>
      </rPr>
      <t>Yopal</t>
    </r>
  </si>
  <si>
    <r>
      <rPr>
        <sz val="10"/>
        <rFont val="Arial MT"/>
        <family val="2"/>
      </rPr>
      <t>Casanare</t>
    </r>
  </si>
  <si>
    <r>
      <rPr>
        <sz val="10"/>
        <rFont val="Arial MT"/>
        <family val="2"/>
      </rPr>
      <t>Apto G L Valencia</t>
    </r>
  </si>
  <si>
    <r>
      <rPr>
        <sz val="10"/>
        <rFont val="Arial MT"/>
        <family val="2"/>
      </rPr>
      <t>Popayán</t>
    </r>
  </si>
  <si>
    <r>
      <rPr>
        <sz val="10"/>
        <rFont val="Arial MT"/>
        <family val="2"/>
      </rPr>
      <t>Cauca</t>
    </r>
  </si>
  <si>
    <r>
      <rPr>
        <sz val="10"/>
        <rFont val="Arial MT"/>
        <family val="2"/>
      </rPr>
      <t>Apto Alfonso López</t>
    </r>
  </si>
  <si>
    <r>
      <rPr>
        <sz val="10"/>
        <rFont val="Arial MT"/>
        <family val="2"/>
      </rPr>
      <t>Valledupar</t>
    </r>
  </si>
  <si>
    <r>
      <rPr>
        <sz val="10"/>
        <rFont val="Arial MT"/>
        <family val="2"/>
      </rPr>
      <t>Cesar</t>
    </r>
  </si>
  <si>
    <r>
      <rPr>
        <sz val="10"/>
        <rFont val="Arial MT"/>
        <family val="2"/>
      </rPr>
      <t>Apto El Caraño</t>
    </r>
  </si>
  <si>
    <r>
      <rPr>
        <sz val="10"/>
        <rFont val="Arial MT"/>
        <family val="2"/>
      </rPr>
      <t>Quibdó</t>
    </r>
  </si>
  <si>
    <r>
      <rPr>
        <sz val="10"/>
        <rFont val="Arial MT"/>
        <family val="2"/>
      </rPr>
      <t>Choco</t>
    </r>
  </si>
  <si>
    <r>
      <rPr>
        <sz val="10"/>
        <rFont val="Arial MT"/>
        <family val="2"/>
      </rPr>
      <t>Apto Los Garzones</t>
    </r>
  </si>
  <si>
    <r>
      <rPr>
        <sz val="10"/>
        <rFont val="Arial MT"/>
        <family val="2"/>
      </rPr>
      <t>Montería</t>
    </r>
  </si>
  <si>
    <r>
      <rPr>
        <sz val="10"/>
        <rFont val="Arial MT"/>
        <family val="2"/>
      </rPr>
      <t>Córdoba</t>
    </r>
  </si>
  <si>
    <r>
      <rPr>
        <sz val="10"/>
        <rFont val="Arial MT"/>
        <family val="2"/>
      </rPr>
      <t>Apto Eldorado P1-2</t>
    </r>
  </si>
  <si>
    <r>
      <rPr>
        <sz val="10"/>
        <rFont val="Arial MT"/>
        <family val="2"/>
      </rPr>
      <t>Bogotá</t>
    </r>
  </si>
  <si>
    <r>
      <rPr>
        <sz val="10"/>
        <rFont val="Arial MT"/>
        <family val="2"/>
      </rPr>
      <t>Cundinamarca</t>
    </r>
  </si>
  <si>
    <r>
      <rPr>
        <sz val="10"/>
        <rFont val="Arial MT"/>
        <family val="2"/>
      </rPr>
      <t>Ita Valsalice</t>
    </r>
  </si>
  <si>
    <r>
      <rPr>
        <sz val="10"/>
        <rFont val="Arial MT"/>
        <family val="2"/>
      </rPr>
      <t>Fusagasugá</t>
    </r>
  </si>
  <si>
    <r>
      <rPr>
        <sz val="10"/>
        <rFont val="Arial MT"/>
        <family val="2"/>
      </rPr>
      <t>Pto Inírida</t>
    </r>
  </si>
  <si>
    <r>
      <rPr>
        <sz val="10"/>
        <rFont val="Arial MT"/>
        <family val="2"/>
      </rPr>
      <t>Inírida</t>
    </r>
  </si>
  <si>
    <r>
      <rPr>
        <sz val="10"/>
        <rFont val="Arial MT"/>
        <family val="2"/>
      </rPr>
      <t>Guainía</t>
    </r>
  </si>
  <si>
    <r>
      <rPr>
        <sz val="10"/>
        <rFont val="Arial MT"/>
        <family val="2"/>
      </rPr>
      <t>CO</t>
    </r>
  </si>
  <si>
    <r>
      <rPr>
        <sz val="10"/>
        <rFont val="Arial MT"/>
        <family val="2"/>
      </rPr>
      <t>San José Guaviare</t>
    </r>
  </si>
  <si>
    <r>
      <rPr>
        <sz val="10"/>
        <rFont val="Arial MT"/>
        <family val="2"/>
      </rPr>
      <t>San José del Guaviare</t>
    </r>
  </si>
  <si>
    <r>
      <rPr>
        <sz val="10"/>
        <rFont val="Arial MT"/>
        <family val="2"/>
      </rPr>
      <t>Guaviare</t>
    </r>
  </si>
  <si>
    <r>
      <rPr>
        <sz val="10"/>
        <rFont val="Arial MT"/>
        <family val="2"/>
      </rPr>
      <t>Apto Benito Salas</t>
    </r>
  </si>
  <si>
    <r>
      <rPr>
        <sz val="10"/>
        <rFont val="Arial MT"/>
        <family val="2"/>
      </rPr>
      <t>Neiva</t>
    </r>
  </si>
  <si>
    <r>
      <rPr>
        <sz val="10"/>
        <rFont val="Arial MT"/>
        <family val="2"/>
      </rPr>
      <t>Huila</t>
    </r>
  </si>
  <si>
    <r>
      <rPr>
        <sz val="10"/>
        <rFont val="Arial MT"/>
        <family val="2"/>
      </rPr>
      <t>Apto Alm Padilla</t>
    </r>
  </si>
  <si>
    <r>
      <rPr>
        <sz val="10"/>
        <rFont val="Arial MT"/>
        <family val="2"/>
      </rPr>
      <t>Riohacha</t>
    </r>
  </si>
  <si>
    <r>
      <rPr>
        <sz val="10"/>
        <rFont val="Arial MT"/>
        <family val="2"/>
      </rPr>
      <t>La Guajira</t>
    </r>
  </si>
  <si>
    <r>
      <rPr>
        <sz val="10"/>
        <rFont val="Arial MT"/>
        <family val="2"/>
      </rPr>
      <t>Apto. Simón Bolívar</t>
    </r>
  </si>
  <si>
    <r>
      <rPr>
        <sz val="10"/>
        <rFont val="Arial MT"/>
        <family val="2"/>
      </rPr>
      <t>Santa Marta</t>
    </r>
  </si>
  <si>
    <r>
      <rPr>
        <sz val="10"/>
        <rFont val="Arial MT"/>
        <family val="2"/>
      </rPr>
      <t>Magdalena</t>
    </r>
  </si>
  <si>
    <r>
      <rPr>
        <sz val="10"/>
        <rFont val="Arial MT"/>
        <family val="2"/>
      </rPr>
      <t>Apto Las Flores</t>
    </r>
  </si>
  <si>
    <r>
      <rPr>
        <sz val="10"/>
        <rFont val="Arial MT"/>
        <family val="2"/>
      </rPr>
      <t>El Banco</t>
    </r>
  </si>
  <si>
    <r>
      <rPr>
        <sz val="10"/>
        <rFont val="Arial MT"/>
        <family val="2"/>
      </rPr>
      <t>Apto Vanguardia</t>
    </r>
  </si>
  <si>
    <r>
      <rPr>
        <sz val="10"/>
        <rFont val="Arial MT"/>
        <family val="2"/>
      </rPr>
      <t>Villavicencio</t>
    </r>
  </si>
  <si>
    <r>
      <rPr>
        <sz val="10"/>
        <rFont val="Arial MT"/>
        <family val="2"/>
      </rPr>
      <t>Meta</t>
    </r>
  </si>
  <si>
    <r>
      <rPr>
        <sz val="10"/>
        <rFont val="Arial MT"/>
        <family val="2"/>
      </rPr>
      <t>Obonuco</t>
    </r>
  </si>
  <si>
    <r>
      <rPr>
        <sz val="10"/>
        <rFont val="Arial MT"/>
        <family val="2"/>
      </rPr>
      <t>Pasto</t>
    </r>
  </si>
  <si>
    <r>
      <rPr>
        <sz val="10"/>
        <rFont val="Arial MT"/>
        <family val="2"/>
      </rPr>
      <t>Nariño</t>
    </r>
  </si>
  <si>
    <r>
      <rPr>
        <sz val="10"/>
        <rFont val="Arial MT"/>
        <family val="2"/>
      </rPr>
      <t>Apto San Luis</t>
    </r>
  </si>
  <si>
    <r>
      <rPr>
        <sz val="10"/>
        <rFont val="Arial MT"/>
        <family val="2"/>
      </rPr>
      <t>Aldana</t>
    </r>
  </si>
  <si>
    <r>
      <rPr>
        <sz val="10"/>
        <rFont val="Arial MT"/>
        <family val="2"/>
      </rPr>
      <t>Apto Camilo Daza</t>
    </r>
  </si>
  <si>
    <r>
      <rPr>
        <sz val="10"/>
        <rFont val="Arial MT"/>
        <family val="2"/>
      </rPr>
      <t>Cúcuta</t>
    </r>
  </si>
  <si>
    <r>
      <rPr>
        <sz val="10"/>
        <rFont val="Arial MT"/>
        <family val="2"/>
      </rPr>
      <t>Norte de Santander</t>
    </r>
  </si>
  <si>
    <r>
      <rPr>
        <sz val="10"/>
        <rFont val="Arial MT"/>
        <family val="2"/>
      </rPr>
      <t>Mocoa Acueducto</t>
    </r>
  </si>
  <si>
    <r>
      <rPr>
        <sz val="10"/>
        <rFont val="Arial MT"/>
        <family val="2"/>
      </rPr>
      <t>Mocoa</t>
    </r>
  </si>
  <si>
    <r>
      <rPr>
        <sz val="10"/>
        <rFont val="Arial MT"/>
        <family val="2"/>
      </rPr>
      <t>Putumayo</t>
    </r>
  </si>
  <si>
    <r>
      <rPr>
        <sz val="10"/>
        <rFont val="Arial MT"/>
        <family val="2"/>
      </rPr>
      <t>Apto El Edén</t>
    </r>
  </si>
  <si>
    <r>
      <rPr>
        <sz val="10"/>
        <rFont val="Arial MT"/>
        <family val="2"/>
      </rPr>
      <t>Armenia</t>
    </r>
  </si>
  <si>
    <r>
      <rPr>
        <sz val="10"/>
        <rFont val="Arial MT"/>
        <family val="2"/>
      </rPr>
      <t>Quindío</t>
    </r>
  </si>
  <si>
    <r>
      <rPr>
        <sz val="10"/>
        <rFont val="Arial MT"/>
        <family val="2"/>
      </rPr>
      <t>Apto Matecaña</t>
    </r>
  </si>
  <si>
    <r>
      <rPr>
        <sz val="10"/>
        <rFont val="Arial MT"/>
        <family val="2"/>
      </rPr>
      <t>Pereira</t>
    </r>
  </si>
  <si>
    <r>
      <rPr>
        <sz val="10"/>
        <rFont val="Arial MT"/>
        <family val="2"/>
      </rPr>
      <t>Risaralda</t>
    </r>
  </si>
  <si>
    <r>
      <rPr>
        <sz val="10"/>
        <rFont val="Arial MT"/>
        <family val="2"/>
      </rPr>
      <t>Apto Sesquicentenario</t>
    </r>
  </si>
  <si>
    <r>
      <rPr>
        <sz val="10"/>
        <rFont val="Arial MT"/>
        <family val="2"/>
      </rPr>
      <t>San Andrés</t>
    </r>
  </si>
  <si>
    <r>
      <rPr>
        <sz val="10"/>
        <rFont val="Arial MT"/>
        <family val="2"/>
      </rPr>
      <t>San Andrés y Providencia</t>
    </r>
  </si>
  <si>
    <r>
      <rPr>
        <sz val="10"/>
        <rFont val="Arial MT"/>
        <family val="2"/>
      </rPr>
      <t>Apto Palonegro</t>
    </r>
  </si>
  <si>
    <r>
      <rPr>
        <sz val="10"/>
        <rFont val="Arial MT"/>
        <family val="2"/>
      </rPr>
      <t>Lebrija</t>
    </r>
  </si>
  <si>
    <r>
      <rPr>
        <sz val="10"/>
        <rFont val="Arial MT"/>
        <family val="2"/>
      </rPr>
      <t>Santander</t>
    </r>
  </si>
  <si>
    <r>
      <rPr>
        <sz val="10"/>
        <rFont val="Arial MT"/>
        <family val="2"/>
      </rPr>
      <t>Apto Yariguies</t>
    </r>
  </si>
  <si>
    <r>
      <rPr>
        <sz val="10"/>
        <rFont val="Arial MT"/>
        <family val="2"/>
      </rPr>
      <t>Barrancabermeja</t>
    </r>
  </si>
  <si>
    <r>
      <rPr>
        <sz val="10"/>
        <rFont val="Arial MT"/>
        <family val="2"/>
      </rPr>
      <t>Apto Rafael Barvo</t>
    </r>
  </si>
  <si>
    <r>
      <rPr>
        <sz val="10"/>
        <rFont val="Arial MT"/>
        <family val="2"/>
      </rPr>
      <t>Corozal</t>
    </r>
  </si>
  <si>
    <r>
      <rPr>
        <sz val="10"/>
        <rFont val="Arial MT"/>
        <family val="2"/>
      </rPr>
      <t>Sucre</t>
    </r>
  </si>
  <si>
    <r>
      <rPr>
        <sz val="10"/>
        <rFont val="Arial MT"/>
        <family val="2"/>
      </rPr>
      <t>Apto Perales</t>
    </r>
  </si>
  <si>
    <r>
      <rPr>
        <sz val="10"/>
        <rFont val="Arial MT"/>
        <family val="2"/>
      </rPr>
      <t>Ibagué</t>
    </r>
  </si>
  <si>
    <r>
      <rPr>
        <sz val="10"/>
        <rFont val="Arial MT"/>
        <family val="2"/>
      </rPr>
      <t>Tolima</t>
    </r>
  </si>
  <si>
    <r>
      <rPr>
        <sz val="10"/>
        <rFont val="Arial MT"/>
        <family val="2"/>
      </rPr>
      <t>Nataima</t>
    </r>
  </si>
  <si>
    <r>
      <rPr>
        <sz val="10"/>
        <rFont val="Arial MT"/>
        <family val="2"/>
      </rPr>
      <t>Espinal</t>
    </r>
  </si>
  <si>
    <r>
      <rPr>
        <sz val="10"/>
        <rFont val="Arial MT"/>
        <family val="2"/>
      </rPr>
      <t>Univ del Valle</t>
    </r>
  </si>
  <si>
    <r>
      <rPr>
        <sz val="10"/>
        <rFont val="Arial MT"/>
        <family val="2"/>
      </rPr>
      <t>Cali</t>
    </r>
  </si>
  <si>
    <r>
      <rPr>
        <sz val="10"/>
        <rFont val="Arial MT"/>
        <family val="2"/>
      </rPr>
      <t>Valle</t>
    </r>
  </si>
  <si>
    <r>
      <rPr>
        <sz val="10"/>
        <rFont val="Arial MT"/>
        <family val="2"/>
      </rPr>
      <t>Apto Buenaventura</t>
    </r>
  </si>
  <si>
    <r>
      <rPr>
        <sz val="10"/>
        <rFont val="Arial MT"/>
        <family val="2"/>
      </rPr>
      <t>Buenaventura</t>
    </r>
  </si>
  <si>
    <r>
      <rPr>
        <sz val="10"/>
        <rFont val="Arial MT"/>
        <family val="2"/>
      </rPr>
      <t>Valle del Cauca</t>
    </r>
  </si>
  <si>
    <r>
      <rPr>
        <sz val="10"/>
        <rFont val="Arial MT"/>
        <family val="2"/>
      </rPr>
      <t>Mitú</t>
    </r>
  </si>
  <si>
    <r>
      <rPr>
        <sz val="10"/>
        <rFont val="Arial MT"/>
        <family val="2"/>
      </rPr>
      <t>Vaupés</t>
    </r>
  </si>
  <si>
    <r>
      <rPr>
        <sz val="10"/>
        <rFont val="Arial MT"/>
        <family val="2"/>
      </rPr>
      <t>Apto Pto Carreño</t>
    </r>
  </si>
  <si>
    <r>
      <rPr>
        <sz val="10"/>
        <rFont val="Arial MT"/>
        <family val="2"/>
      </rPr>
      <t>Puerto Carreño</t>
    </r>
  </si>
  <si>
    <r>
      <rPr>
        <sz val="10"/>
        <rFont val="Arial MT"/>
        <family val="2"/>
      </rPr>
      <t>Vichada</t>
    </r>
  </si>
  <si>
    <t>R22</t>
  </si>
  <si>
    <t>R507</t>
  </si>
  <si>
    <t>R290</t>
  </si>
  <si>
    <t>R717</t>
  </si>
  <si>
    <t>R744</t>
  </si>
  <si>
    <t>SENCILLO</t>
  </si>
  <si>
    <t>TEMPERATURA MEDIA MÁXIMA AMBIENTE [C]</t>
  </si>
  <si>
    <t>Tamb</t>
  </si>
  <si>
    <t>Ts1</t>
  </si>
  <si>
    <t>Ts2</t>
  </si>
  <si>
    <t>Refrigerante</t>
  </si>
  <si>
    <t>–100</t>
  </si>
  <si>
    <t>–90</t>
  </si>
  <si>
    <t>–80</t>
  </si>
  <si>
    <t>–70</t>
  </si>
  <si>
    <t>–60</t>
  </si>
  <si>
    <t>–50</t>
  </si>
  <si>
    <t>–48</t>
  </si>
  <si>
    <t>–46</t>
  </si>
  <si>
    <t>–44</t>
  </si>
  <si>
    <t>–42</t>
  </si>
  <si>
    <t>–40.81</t>
  </si>
  <si>
    <t>–40</t>
  </si>
  <si>
    <t>–38</t>
  </si>
  <si>
    <t>–36</t>
  </si>
  <si>
    <t>–34</t>
  </si>
  <si>
    <t>–32</t>
  </si>
  <si>
    <t>–30</t>
  </si>
  <si>
    <t>–28</t>
  </si>
  <si>
    <t>–26</t>
  </si>
  <si>
    <t>–24</t>
  </si>
  <si>
    <t>–22</t>
  </si>
  <si>
    <t>–20</t>
  </si>
  <si>
    <t>–18</t>
  </si>
  <si>
    <t>–16</t>
  </si>
  <si>
    <t>–14</t>
  </si>
  <si>
    <t>–12</t>
  </si>
  <si>
    <t>–10</t>
  </si>
  <si>
    <t>–8</t>
  </si>
  <si>
    <t>–6</t>
  </si>
  <si>
    <t>–4</t>
  </si>
  <si>
    <t>–2</t>
  </si>
  <si>
    <t>∞</t>
  </si>
  <si>
    <t>—</t>
  </si>
  <si>
    <t>Temp [C]</t>
  </si>
  <si>
    <t>Pressure [Mpa]</t>
  </si>
  <si>
    <t>Density_f [kg/m3]</t>
  </si>
  <si>
    <t>Density_g [kg/m3]</t>
  </si>
  <si>
    <t>Enthalpy_f [kJ/kg]</t>
  </si>
  <si>
    <t>Enthalpy_g [kJ/kg]</t>
  </si>
  <si>
    <t>Entropy_f [kJ/kg.K]</t>
  </si>
  <si>
    <t>Entropy_g [kJ/kg.K]</t>
  </si>
  <si>
    <t>Cp_f [kJ/kg/K]</t>
  </si>
  <si>
    <t>Cp_g [kJ/kg/K]</t>
  </si>
  <si>
    <t>Cp/Cv</t>
  </si>
  <si>
    <t>Vs_f [m/s]</t>
  </si>
  <si>
    <t>Vs_g [m/s]</t>
  </si>
  <si>
    <t>Viscosity_f [uPa.s]</t>
  </si>
  <si>
    <t>Viscosity_g [uPa.s]</t>
  </si>
  <si>
    <t>Thermal Cond_f [mW/m.K]</t>
  </si>
  <si>
    <t>Thermal Cond_g [mW/m.K]</t>
  </si>
  <si>
    <t>Surface Tension [mN/m]</t>
  </si>
  <si>
    <t>R410</t>
  </si>
  <si>
    <t>Pressure [psi]</t>
  </si>
  <si>
    <t>VolS_g [kg/m3]</t>
  </si>
  <si>
    <t>R134A</t>
  </si>
  <si>
    <t>R718</t>
  </si>
  <si>
    <t>–40.81b</t>
  </si>
  <si>
    <t>96.15c</t>
  </si>
  <si>
    <t>–103.30a</t>
  </si>
  <si>
    <t>–103.30</t>
  </si>
  <si>
    <t>–26.07b</t>
  </si>
  <si>
    <t>–26.07</t>
  </si>
  <si>
    <t>101.06c</t>
  </si>
  <si>
    <t>–88.23</t>
  </si>
  <si>
    <t>–88.14</t>
  </si>
  <si>
    <t>–78.79</t>
  </si>
  <si>
    <t>–78.70</t>
  </si>
  <si>
    <t>–68.12</t>
  </si>
  <si>
    <t>–68.04</t>
  </si>
  <si>
    <t>–61.22</t>
  </si>
  <si>
    <t>–61.14</t>
  </si>
  <si>
    <t>–55.98</t>
  </si>
  <si>
    <t>–55.90</t>
  </si>
  <si>
    <t>–51.70</t>
  </si>
  <si>
    <t>–51.62</t>
  </si>
  <si>
    <t>0.10132b</t>
  </si>
  <si>
    <t>–51.44</t>
  </si>
  <si>
    <t>–51.36</t>
  </si>
  <si>
    <t>–48.06</t>
  </si>
  <si>
    <t>–47.98</t>
  </si>
  <si>
    <t>–44.87</t>
  </si>
  <si>
    <t>–44.79</t>
  </si>
  <si>
    <t>–42.02</t>
  </si>
  <si>
    <t>–41.94</t>
  </si>
  <si>
    <t>–39.44</t>
  </si>
  <si>
    <t>–39.36</t>
  </si>
  <si>
    <t>–37.07</t>
  </si>
  <si>
    <t>–36.99</t>
  </si>
  <si>
    <t>–34.89</t>
  </si>
  <si>
    <t>–34.80</t>
  </si>
  <si>
    <t>–32.85</t>
  </si>
  <si>
    <t>–32.76</t>
  </si>
  <si>
    <t>–30.94</t>
  </si>
  <si>
    <t>–30.85</t>
  </si>
  <si>
    <t>–29.14</t>
  </si>
  <si>
    <t>–29.05</t>
  </si>
  <si>
    <t>–27.44</t>
  </si>
  <si>
    <t>–27.35</t>
  </si>
  <si>
    <t>–25.82</t>
  </si>
  <si>
    <t>–25.73</t>
  </si>
  <si>
    <t>–24.28</t>
  </si>
  <si>
    <t>–24.19</t>
  </si>
  <si>
    <t>–22.81</t>
  </si>
  <si>
    <t>–22.72</t>
  </si>
  <si>
    <t>–21.40</t>
  </si>
  <si>
    <t>–21.31</t>
  </si>
  <si>
    <t>–20.04</t>
  </si>
  <si>
    <t>–19.95</t>
  </si>
  <si>
    <t>–18.74</t>
  </si>
  <si>
    <t>–18.65</t>
  </si>
  <si>
    <t>–17.48</t>
  </si>
  <si>
    <t>–17.39</t>
  </si>
  <si>
    <t>–16.27</t>
  </si>
  <si>
    <t>–16.18</t>
  </si>
  <si>
    <t>–15.10</t>
  </si>
  <si>
    <t>–15.00</t>
  </si>
  <si>
    <t>–13.96</t>
  </si>
  <si>
    <t>–13.86</t>
  </si>
  <si>
    <t>–11.26</t>
  </si>
  <si>
    <t>–11.16</t>
  </si>
  <si>
    <t>–8.74</t>
  </si>
  <si>
    <t>–8.64</t>
  </si>
  <si>
    <t>–6.38</t>
  </si>
  <si>
    <t>–6.28</t>
  </si>
  <si>
    <t>–4.15</t>
  </si>
  <si>
    <t>–4.05</t>
  </si>
  <si>
    <t>–2.04</t>
  </si>
  <si>
    <t>–1.93</t>
  </si>
  <si>
    <t>–0.03</t>
  </si>
  <si>
    <t>4.903c</t>
  </si>
  <si>
    <t>–95</t>
  </si>
  <si>
    <t>–85</t>
  </si>
  <si>
    <t>–75</t>
  </si>
  <si>
    <t>–65</t>
  </si>
  <si>
    <t>–55</t>
  </si>
  <si>
    <t>–46.74b</t>
  </si>
  <si>
    <t>–46.74</t>
  </si>
  <si>
    <t>70.62c</t>
  </si>
  <si>
    <t>–77.65a</t>
  </si>
  <si>
    <t>–143.15</t>
  </si>
  <si>
    <t>–0.4716</t>
  </si>
  <si>
    <t>–77.65</t>
  </si>
  <si>
    <t>–110.81</t>
  </si>
  <si>
    <t>–0.3094</t>
  </si>
  <si>
    <t>–68.06</t>
  </si>
  <si>
    <t>–0.1040</t>
  </si>
  <si>
    <t>–24.73</t>
  </si>
  <si>
    <t>–33.33b</t>
  </si>
  <si>
    <t>–33.33</t>
  </si>
  <si>
    <t>132.25c</t>
  </si>
  <si>
    <t>0.01a</t>
  </si>
  <si>
    <t>99.97b</t>
  </si>
  <si>
    <t>373.95c</t>
  </si>
  <si>
    <t>–56.56a</t>
  </si>
  <si>
    <t>–56.56</t>
  </si>
  <si>
    <t>–19</t>
  </si>
  <si>
    <t>–17</t>
  </si>
  <si>
    <t>–15</t>
  </si>
  <si>
    <t>–13</t>
  </si>
  <si>
    <t>–11</t>
  </si>
  <si>
    <t>–9</t>
  </si>
  <si>
    <t>–7</t>
  </si>
  <si>
    <t>–5</t>
  </si>
  <si>
    <t>–3</t>
  </si>
  <si>
    <t>–1</t>
  </si>
  <si>
    <t>30.98c</t>
  </si>
  <si>
    <t>–150</t>
  </si>
  <si>
    <t>–123.78</t>
  </si>
  <si>
    <t>–0.6903</t>
  </si>
  <si>
    <t>–140</t>
  </si>
  <si>
    <t>–104.09</t>
  </si>
  <si>
    <t>–0.5366</t>
  </si>
  <si>
    <t>–130</t>
  </si>
  <si>
    <t>–84.23</t>
  </si>
  <si>
    <t>–0.3929</t>
  </si>
  <si>
    <t>–120</t>
  </si>
  <si>
    <t>–64.21</t>
  </si>
  <si>
    <t>–0.2576</t>
  </si>
  <si>
    <t>–110</t>
  </si>
  <si>
    <t>–43.99</t>
  </si>
  <si>
    <t>–0.1298</t>
  </si>
  <si>
    <t>–23.56</t>
  </si>
  <si>
    <t>–0.0083</t>
  </si>
  <si>
    <t>–2.90</t>
  </si>
  <si>
    <t>–42.11b</t>
  </si>
  <si>
    <t>–42.11</t>
  </si>
  <si>
    <t>96.74c</t>
  </si>
  <si>
    <t>Temp [C]2</t>
  </si>
  <si>
    <t>Temp_Bubble  [C]</t>
  </si>
  <si>
    <t>Temp_Dew [C]</t>
  </si>
  <si>
    <t>Pressure [psi]2</t>
  </si>
  <si>
    <t>Consumo Eléctrico (kWh)</t>
  </si>
  <si>
    <t>Ingresar temperatura del medio</t>
  </si>
  <si>
    <t>TEMPERATURA MEDIA AMBIENTE [C]</t>
  </si>
  <si>
    <t>TEMPERATURA MEDIA MÍNIMA AMBIENTE [C]</t>
  </si>
  <si>
    <t>Tmax</t>
  </si>
  <si>
    <t>Tmin</t>
  </si>
  <si>
    <t>Tmed</t>
  </si>
  <si>
    <t>Presion_Atm</t>
  </si>
  <si>
    <t>TIPO NEVERA</t>
  </si>
  <si>
    <t>PRODUCTO</t>
  </si>
  <si>
    <t>TEMPERATURA</t>
  </si>
  <si>
    <t>MURAL BT</t>
  </si>
  <si>
    <t>SEMIMURAL BT</t>
  </si>
  <si>
    <t>COMBI BT</t>
  </si>
  <si>
    <t>ISLA BT</t>
  </si>
  <si>
    <t>VITRINA BT</t>
  </si>
  <si>
    <t>NEVERA BT</t>
  </si>
  <si>
    <t>MESÓN BT</t>
  </si>
  <si>
    <t>CAVA BT</t>
  </si>
  <si>
    <t>CC</t>
  </si>
  <si>
    <t>HELADOS</t>
  </si>
  <si>
    <t>PESCADO</t>
  </si>
  <si>
    <t>% Ahorro</t>
  </si>
  <si>
    <t>Set point nocturno</t>
  </si>
  <si>
    <t>Evaporación flotante</t>
  </si>
  <si>
    <t>Incluir capacidad en punto operación compresores</t>
  </si>
  <si>
    <t>Incluir aumento consumo ventiladores</t>
  </si>
  <si>
    <t>Incluir cambio rutina defrost</t>
  </si>
  <si>
    <t>ARNEG</t>
  </si>
  <si>
    <t>MURAL MT</t>
  </si>
  <si>
    <t>SEMIMURAL MT</t>
  </si>
  <si>
    <t>VITRINA ATENDIDA</t>
  </si>
  <si>
    <t>VITRINA AUTOSERVICIO</t>
  </si>
  <si>
    <t>VITRINA DOBLE</t>
  </si>
  <si>
    <t>CARNES</t>
  </si>
  <si>
    <t>LÁCTEOS</t>
  </si>
  <si>
    <t>FRUVER</t>
  </si>
  <si>
    <t>DELI</t>
  </si>
  <si>
    <t>TORTAS</t>
  </si>
  <si>
    <t>BEBIDAS</t>
  </si>
  <si>
    <t>JUGOS</t>
  </si>
  <si>
    <t xml:space="preserve">ISLA </t>
  </si>
  <si>
    <t xml:space="preserve">WESTON </t>
  </si>
  <si>
    <t>PRIME</t>
  </si>
  <si>
    <t>CAVA MT</t>
  </si>
  <si>
    <t>PANADERÍA</t>
  </si>
  <si>
    <t>ARNEG_P</t>
  </si>
  <si>
    <t>COMIDAS</t>
  </si>
  <si>
    <t>VITRINA ALTA</t>
  </si>
  <si>
    <t>TOGO</t>
  </si>
  <si>
    <t>WESTON _P</t>
  </si>
  <si>
    <t>PRIME_P</t>
  </si>
  <si>
    <t>VITRINA ATENDIDA BT</t>
  </si>
  <si>
    <t>VITRINA AUTOSERVICIO BT</t>
  </si>
  <si>
    <t>FINAL</t>
  </si>
  <si>
    <t>FINAL_P</t>
  </si>
  <si>
    <t>–40,81</t>
  </si>
  <si>
    <t>-40.81</t>
  </si>
  <si>
    <t>-103.30</t>
  </si>
  <si>
    <t>-26.07</t>
  </si>
  <si>
    <t>-88.23</t>
  </si>
  <si>
    <t>-88.14</t>
  </si>
  <si>
    <t>-78.79</t>
  </si>
  <si>
    <t>-78.70</t>
  </si>
  <si>
    <t>-68.12</t>
  </si>
  <si>
    <t>-68.04</t>
  </si>
  <si>
    <t>-61.22</t>
  </si>
  <si>
    <t>-61.14</t>
  </si>
  <si>
    <t>-55.98</t>
  </si>
  <si>
    <t>-55.90</t>
  </si>
  <si>
    <t>-51.70</t>
  </si>
  <si>
    <t>-51.62</t>
  </si>
  <si>
    <t>-51.44</t>
  </si>
  <si>
    <t>-51.36</t>
  </si>
  <si>
    <t>-48.06</t>
  </si>
  <si>
    <t>-47.98</t>
  </si>
  <si>
    <t>-44.87</t>
  </si>
  <si>
    <t>-44.79</t>
  </si>
  <si>
    <t>-42.02</t>
  </si>
  <si>
    <t>-41.94</t>
  </si>
  <si>
    <t>-39.44</t>
  </si>
  <si>
    <t>-39.36</t>
  </si>
  <si>
    <t>-37.07</t>
  </si>
  <si>
    <t>-36.99</t>
  </si>
  <si>
    <t>-34.89</t>
  </si>
  <si>
    <t>-34.80</t>
  </si>
  <si>
    <t>-32.85</t>
  </si>
  <si>
    <t>-32.76</t>
  </si>
  <si>
    <t>-30.94</t>
  </si>
  <si>
    <t>-30.85</t>
  </si>
  <si>
    <t>-29.14</t>
  </si>
  <si>
    <t>-29.05</t>
  </si>
  <si>
    <t>-27.44</t>
  </si>
  <si>
    <t>-27.35</t>
  </si>
  <si>
    <t>-25.82</t>
  </si>
  <si>
    <t>-25.73</t>
  </si>
  <si>
    <t>-24.28</t>
  </si>
  <si>
    <t>-24.19</t>
  </si>
  <si>
    <t>-22.81</t>
  </si>
  <si>
    <t>-22.72</t>
  </si>
  <si>
    <t>-21.40</t>
  </si>
  <si>
    <t>-21.31</t>
  </si>
  <si>
    <t>-20.04</t>
  </si>
  <si>
    <t>-19.95</t>
  </si>
  <si>
    <t>-18.74</t>
  </si>
  <si>
    <t>-18.65</t>
  </si>
  <si>
    <t>-17.48</t>
  </si>
  <si>
    <t>-17.39</t>
  </si>
  <si>
    <t>-16.27</t>
  </si>
  <si>
    <t>-16.18</t>
  </si>
  <si>
    <t>-15.10</t>
  </si>
  <si>
    <t>-15.00</t>
  </si>
  <si>
    <t>-13.96</t>
  </si>
  <si>
    <t>-13.86</t>
  </si>
  <si>
    <t>-11.26</t>
  </si>
  <si>
    <t>-11.16</t>
  </si>
  <si>
    <t>-8.74</t>
  </si>
  <si>
    <t>-8.64</t>
  </si>
  <si>
    <t>-6.38</t>
  </si>
  <si>
    <t>-6.28</t>
  </si>
  <si>
    <t>-4.15</t>
  </si>
  <si>
    <t>-4.05</t>
  </si>
  <si>
    <t>-2.04</t>
  </si>
  <si>
    <t>-1.93</t>
  </si>
  <si>
    <t>-0.03</t>
  </si>
  <si>
    <t>-46.74</t>
  </si>
  <si>
    <t>-143.15</t>
  </si>
  <si>
    <t>-0.4716</t>
  </si>
  <si>
    <t>-77.65</t>
  </si>
  <si>
    <t>-110.81</t>
  </si>
  <si>
    <t>-0.3094</t>
  </si>
  <si>
    <t>-68.06</t>
  </si>
  <si>
    <t>-0.1040</t>
  </si>
  <si>
    <t>-24.73</t>
  </si>
  <si>
    <t>-33.33</t>
  </si>
  <si>
    <t>-56.56</t>
  </si>
  <si>
    <t>-123.78</t>
  </si>
  <si>
    <t>-0.6903</t>
  </si>
  <si>
    <t>-104.09</t>
  </si>
  <si>
    <t>-0.5366</t>
  </si>
  <si>
    <t>-84.23</t>
  </si>
  <si>
    <t>-0.3929</t>
  </si>
  <si>
    <t>-64.21</t>
  </si>
  <si>
    <t>-0.2576</t>
  </si>
  <si>
    <t>-43.99</t>
  </si>
  <si>
    <t>-0.1298</t>
  </si>
  <si>
    <t>-23.56</t>
  </si>
  <si>
    <t>-0.0083</t>
  </si>
  <si>
    <t>-2.90</t>
  </si>
  <si>
    <t>-42.11</t>
  </si>
  <si>
    <t>PROYECTO</t>
  </si>
  <si>
    <t>SH TOTAL</t>
  </si>
  <si>
    <t>T descarga (C)</t>
  </si>
  <si>
    <t># VENTILADORES</t>
  </si>
  <si>
    <t>POTENCIA ELÉCTRICA NOMINAL</t>
  </si>
  <si>
    <t>R134a</t>
  </si>
  <si>
    <t>R410A</t>
  </si>
  <si>
    <t>R507A</t>
  </si>
  <si>
    <t>Ammonia</t>
  </si>
  <si>
    <t>Water</t>
  </si>
  <si>
    <t>CarbonDioxide</t>
  </si>
  <si>
    <t>n-Propane</t>
  </si>
  <si>
    <t>R1234yf</t>
  </si>
  <si>
    <t>R1234ze(E)</t>
  </si>
  <si>
    <t>CONDENSADOR BT</t>
  </si>
  <si>
    <t>CONDENSADOR MT</t>
  </si>
  <si>
    <t>Potencia Frigorífica Actual [kW]</t>
  </si>
  <si>
    <t>Potencia Frigorífica Futura [kW]</t>
  </si>
  <si>
    <t>SETPOINT NOCTURNO</t>
  </si>
  <si>
    <t>INSTALARÁ CORTINAS?</t>
  </si>
  <si>
    <t>CARGAS TÉRMICAS</t>
  </si>
  <si>
    <t>CARGAS ELÉCTRICAS</t>
  </si>
  <si>
    <t>INSTALARÁ VENTILADORES EFICIENTES?</t>
  </si>
  <si>
    <t>FACTOR DE USO FUTURO</t>
  </si>
  <si>
    <t>TIPO DE DEFROST</t>
  </si>
  <si>
    <t>TIEMPO ACTUAL</t>
  </si>
  <si>
    <t>TIEMPO FUTURO</t>
  </si>
  <si>
    <t>NIVELES ILUMINADOS</t>
  </si>
  <si>
    <t>POTENCIA ELÉCTRICA ACTUAL [kW]</t>
  </si>
  <si>
    <t>POTENCIA ELÉCTRICA FUTURA [kW]</t>
  </si>
  <si>
    <t>EQUIPOS MEDIA TEMPERATURA</t>
  </si>
  <si>
    <t>CORTINAS</t>
  </si>
  <si>
    <t>APAGADO NOCTURNO</t>
  </si>
  <si>
    <t>TEMPERATURA PROMEDIO DIURNO</t>
  </si>
  <si>
    <t>TEMPERATURA PROMEDIO NOCTURNO</t>
  </si>
  <si>
    <t>FACTOR DE USO ACTUAL</t>
  </si>
  <si>
    <t>CAMBIARÁ TECNOLOGÍA DE ILUMINACIÓN?</t>
  </si>
  <si>
    <t>VENTILADORES</t>
  </si>
  <si>
    <t>RESISTENCIA ANTIEMPAÑANTE</t>
  </si>
  <si>
    <t>ILUMINACIÓN</t>
  </si>
  <si>
    <t>POTENCIA</t>
  </si>
  <si>
    <t>VITRINA ATENDIDA MT</t>
  </si>
  <si>
    <t>VITRINA AUTOSERVICIO MT</t>
  </si>
  <si>
    <t>VITRINA DOBLE MT</t>
  </si>
  <si>
    <t>ISLA MT</t>
  </si>
  <si>
    <t>HORAS ACTIVACIÓN CORTINAS</t>
  </si>
  <si>
    <t>HORAS ACTIVACIÓN APAGADO</t>
  </si>
  <si>
    <t>HORAS ACTIVACIÓN SETPOINT NOCTURNO</t>
  </si>
  <si>
    <t>¿APAGADO NOCTURNO?</t>
  </si>
  <si>
    <t>¿INSTALARÁ PUERTAS?</t>
  </si>
  <si>
    <t>TIPO</t>
  </si>
  <si>
    <t>CARGA ABIERTA</t>
  </si>
  <si>
    <t>CARGA PUERTAS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</si>
</sst>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0.0"/>
    <numFmt numFmtId="166" formatCode="#.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rgb="FF000000"/>
      <name val="Arial MT"/>
      <family val="2"/>
    </font>
    <font>
      <sz val="10"/>
      <name val="Arial MT"/>
    </font>
    <font>
      <sz val="10"/>
      <name val="Arial MT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419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10" xfId="0" applyBorder="1"/>
    <xf numFmtId="0" fontId="0" fillId="0" borderId="14" xfId="0" applyBorder="1"/>
    <xf numFmtId="0" fontId="0" fillId="0" borderId="11" xfId="0" applyBorder="1"/>
    <xf numFmtId="0" fontId="0" fillId="0" borderId="9" xfId="0" applyBorder="1"/>
    <xf numFmtId="0" fontId="0" fillId="0" borderId="16" xfId="0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/>
    <xf numFmtId="0" fontId="0" fillId="0" borderId="10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/>
    <xf numFmtId="0" fontId="1" fillId="4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" fillId="4" borderId="7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0" xfId="0" applyFont="1" applyFill="1"/>
    <xf numFmtId="0" fontId="0" fillId="2" borderId="2" xfId="0" applyFill="1" applyBorder="1"/>
    <xf numFmtId="0" fontId="0" fillId="4" borderId="2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1" fillId="2" borderId="2" xfId="0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1" fillId="4" borderId="15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0" fillId="2" borderId="2" xfId="0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0" fontId="7" fillId="0" borderId="61" xfId="0" applyFont="1" applyBorder="1" applyAlignment="1">
      <alignment horizontal="center" vertical="top" wrapText="1"/>
    </xf>
    <xf numFmtId="0" fontId="7" fillId="0" borderId="62" xfId="0" applyFont="1" applyBorder="1" applyAlignment="1">
      <alignment horizontal="center" vertical="top" wrapText="1"/>
    </xf>
    <xf numFmtId="0" fontId="7" fillId="0" borderId="63" xfId="0" applyFont="1" applyBorder="1" applyAlignment="1">
      <alignment horizontal="center" vertical="top" wrapText="1"/>
    </xf>
    <xf numFmtId="1" fontId="8" fillId="0" borderId="59" xfId="0" applyNumberFormat="1" applyFont="1" applyBorder="1" applyAlignment="1">
      <alignment horizontal="center" vertical="top" shrinkToFit="1"/>
    </xf>
    <xf numFmtId="0" fontId="9" fillId="0" borderId="58" xfId="0" applyFont="1" applyBorder="1" applyAlignment="1">
      <alignment horizontal="center" vertical="top" wrapText="1"/>
    </xf>
    <xf numFmtId="1" fontId="8" fillId="0" borderId="58" xfId="0" applyNumberFormat="1" applyFont="1" applyBorder="1" applyAlignment="1">
      <alignment horizontal="center" vertical="top" shrinkToFit="1"/>
    </xf>
    <xf numFmtId="165" fontId="8" fillId="0" borderId="58" xfId="0" applyNumberFormat="1" applyFont="1" applyBorder="1" applyAlignment="1">
      <alignment horizontal="center" vertical="top" shrinkToFit="1"/>
    </xf>
    <xf numFmtId="165" fontId="8" fillId="0" borderId="60" xfId="0" applyNumberFormat="1" applyFont="1" applyBorder="1" applyAlignment="1">
      <alignment horizontal="center" vertical="top" shrinkToFit="1"/>
    </xf>
    <xf numFmtId="1" fontId="8" fillId="0" borderId="64" xfId="0" applyNumberFormat="1" applyFont="1" applyBorder="1" applyAlignment="1">
      <alignment horizontal="center" vertical="top" shrinkToFit="1"/>
    </xf>
    <xf numFmtId="0" fontId="9" fillId="0" borderId="65" xfId="0" applyFont="1" applyBorder="1" applyAlignment="1">
      <alignment horizontal="center" vertical="top" wrapText="1"/>
    </xf>
    <xf numFmtId="1" fontId="8" fillId="0" borderId="65" xfId="0" applyNumberFormat="1" applyFont="1" applyBorder="1" applyAlignment="1">
      <alignment horizontal="center" vertical="top" shrinkToFit="1"/>
    </xf>
    <xf numFmtId="165" fontId="8" fillId="0" borderId="65" xfId="0" applyNumberFormat="1" applyFont="1" applyBorder="1" applyAlignment="1">
      <alignment horizontal="center" vertical="top" shrinkToFit="1"/>
    </xf>
    <xf numFmtId="165" fontId="8" fillId="0" borderId="66" xfId="0" applyNumberFormat="1" applyFont="1" applyBorder="1" applyAlignment="1">
      <alignment horizontal="center" vertical="top" shrinkToFit="1"/>
    </xf>
    <xf numFmtId="0" fontId="11" fillId="0" borderId="0" xfId="0" applyFont="1"/>
    <xf numFmtId="0" fontId="11" fillId="0" borderId="19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2" fillId="4" borderId="6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49" xfId="0" applyFont="1" applyBorder="1" applyAlignment="1">
      <alignment horizontal="center"/>
    </xf>
    <xf numFmtId="0" fontId="11" fillId="0" borderId="50" xfId="0" applyFont="1" applyBorder="1" applyAlignment="1">
      <alignment horizontal="center"/>
    </xf>
    <xf numFmtId="0" fontId="11" fillId="0" borderId="55" xfId="0" applyFont="1" applyBorder="1" applyAlignment="1">
      <alignment horizontal="center"/>
    </xf>
    <xf numFmtId="0" fontId="11" fillId="0" borderId="46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2" xfId="0" applyFont="1" applyBorder="1"/>
    <xf numFmtId="0" fontId="11" fillId="0" borderId="7" xfId="0" applyFont="1" applyBorder="1"/>
    <xf numFmtId="0" fontId="11" fillId="0" borderId="11" xfId="0" applyFont="1" applyBorder="1" applyAlignment="1">
      <alignment horizontal="center"/>
    </xf>
    <xf numFmtId="0" fontId="11" fillId="0" borderId="11" xfId="0" applyFont="1" applyBorder="1"/>
    <xf numFmtId="0" fontId="11" fillId="0" borderId="16" xfId="0" applyFont="1" applyBorder="1"/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13" xfId="0" applyFont="1" applyBorder="1"/>
    <xf numFmtId="0" fontId="11" fillId="0" borderId="14" xfId="0" applyFont="1" applyBorder="1"/>
    <xf numFmtId="0" fontId="11" fillId="0" borderId="9" xfId="0" applyFont="1" applyBorder="1"/>
    <xf numFmtId="0" fontId="11" fillId="0" borderId="10" xfId="0" applyFont="1" applyBorder="1"/>
    <xf numFmtId="0" fontId="11" fillId="0" borderId="51" xfId="0" applyFont="1" applyBorder="1"/>
    <xf numFmtId="0" fontId="2" fillId="0" borderId="0" xfId="0" applyFont="1" applyAlignment="1">
      <alignment vertical="center"/>
    </xf>
    <xf numFmtId="0" fontId="2" fillId="2" borderId="0" xfId="0" applyFont="1" applyFill="1"/>
    <xf numFmtId="0" fontId="11" fillId="4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11" fillId="2" borderId="2" xfId="0" applyFont="1" applyFill="1" applyBorder="1"/>
    <xf numFmtId="2" fontId="11" fillId="2" borderId="2" xfId="0" applyNumberFormat="1" applyFont="1" applyFill="1" applyBorder="1" applyAlignment="1">
      <alignment horizontal="center"/>
    </xf>
    <xf numFmtId="0" fontId="11" fillId="0" borderId="26" xfId="0" applyFont="1" applyBorder="1"/>
    <xf numFmtId="0" fontId="11" fillId="2" borderId="2" xfId="0" applyFont="1" applyFill="1" applyBorder="1" applyAlignment="1">
      <alignment horizontal="left"/>
    </xf>
    <xf numFmtId="9" fontId="1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/>
    </xf>
    <xf numFmtId="0" fontId="13" fillId="7" borderId="67" xfId="0" applyFont="1" applyFill="1" applyBorder="1" applyAlignment="1">
      <alignment horizontal="center" vertical="center"/>
    </xf>
    <xf numFmtId="0" fontId="13" fillId="7" borderId="68" xfId="0" applyFont="1" applyFill="1" applyBorder="1" applyAlignment="1">
      <alignment horizontal="center" vertical="center" wrapText="1"/>
    </xf>
    <xf numFmtId="0" fontId="13" fillId="7" borderId="68" xfId="0" applyFont="1" applyFill="1" applyBorder="1" applyAlignment="1">
      <alignment horizontal="center" vertical="center"/>
    </xf>
    <xf numFmtId="0" fontId="13" fillId="7" borderId="69" xfId="0" applyFont="1" applyFill="1" applyBorder="1" applyAlignment="1">
      <alignment horizontal="center" vertical="center"/>
    </xf>
    <xf numFmtId="0" fontId="13" fillId="7" borderId="69" xfId="0" applyFont="1" applyFill="1" applyBorder="1" applyAlignment="1">
      <alignment horizontal="center" vertical="center" wrapText="1"/>
    </xf>
    <xf numFmtId="2" fontId="8" fillId="0" borderId="58" xfId="0" applyNumberFormat="1" applyFont="1" applyBorder="1" applyAlignment="1">
      <alignment horizontal="center" vertical="top" shrinkToFit="1"/>
    </xf>
    <xf numFmtId="2" fontId="8" fillId="0" borderId="65" xfId="0" applyNumberFormat="1" applyFont="1" applyBorder="1" applyAlignment="1">
      <alignment horizontal="center" vertical="top" shrinkToFit="1"/>
    </xf>
    <xf numFmtId="0" fontId="13" fillId="7" borderId="0" xfId="0" applyFont="1" applyFill="1" applyAlignment="1">
      <alignment horizontal="center" vertical="center" wrapText="1"/>
    </xf>
    <xf numFmtId="165" fontId="8" fillId="0" borderId="62" xfId="0" applyNumberFormat="1" applyFont="1" applyBorder="1" applyAlignment="1">
      <alignment horizontal="center" vertical="top" shrinkToFit="1"/>
    </xf>
    <xf numFmtId="0" fontId="2" fillId="0" borderId="40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/>
    </xf>
    <xf numFmtId="0" fontId="0" fillId="0" borderId="28" xfId="0" applyBorder="1"/>
    <xf numFmtId="9" fontId="0" fillId="0" borderId="27" xfId="3" applyFont="1" applyBorder="1" applyAlignment="1">
      <alignment horizontal="center"/>
    </xf>
    <xf numFmtId="0" fontId="1" fillId="0" borderId="73" xfId="0" applyFont="1" applyBorder="1" applyAlignment="1">
      <alignment horizontal="center"/>
    </xf>
    <xf numFmtId="0" fontId="0" fillId="0" borderId="70" xfId="0" applyBorder="1"/>
    <xf numFmtId="1" fontId="0" fillId="0" borderId="13" xfId="0" applyNumberFormat="1" applyBorder="1" applyAlignment="1">
      <alignment horizontal="center"/>
    </xf>
    <xf numFmtId="9" fontId="0" fillId="0" borderId="71" xfId="3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27" xfId="0" applyBorder="1" applyAlignment="1">
      <alignment horizontal="center"/>
    </xf>
    <xf numFmtId="0" fontId="13" fillId="7" borderId="2" xfId="0" applyFont="1" applyFill="1" applyBorder="1"/>
    <xf numFmtId="3" fontId="0" fillId="0" borderId="0" xfId="0" applyNumberFormat="1" applyAlignment="1">
      <alignment horizontal="center"/>
    </xf>
    <xf numFmtId="0" fontId="0" fillId="0" borderId="39" xfId="0" applyBorder="1" applyAlignment="1">
      <alignment horizontal="center"/>
    </xf>
    <xf numFmtId="3" fontId="0" fillId="0" borderId="46" xfId="0" applyNumberFormat="1" applyBorder="1" applyAlignment="1">
      <alignment horizontal="center"/>
    </xf>
    <xf numFmtId="0" fontId="15" fillId="0" borderId="0" xfId="0" applyFont="1" applyAlignment="1">
      <alignment horizontal="center"/>
    </xf>
    <xf numFmtId="1" fontId="0" fillId="0" borderId="46" xfId="0" applyNumberFormat="1" applyBorder="1" applyAlignment="1">
      <alignment horizontal="center"/>
    </xf>
    <xf numFmtId="0" fontId="13" fillId="7" borderId="28" xfId="0" applyFont="1" applyFill="1" applyBorder="1" applyAlignment="1">
      <alignment horizontal="center"/>
    </xf>
    <xf numFmtId="0" fontId="0" fillId="0" borderId="28" xfId="0" applyBorder="1" applyAlignment="1">
      <alignment horizontal="left"/>
    </xf>
    <xf numFmtId="0" fontId="0" fillId="0" borderId="72" xfId="0" applyBorder="1" applyAlignment="1">
      <alignment horizontal="left"/>
    </xf>
    <xf numFmtId="0" fontId="11" fillId="0" borderId="28" xfId="0" applyFont="1" applyBorder="1" applyAlignment="1">
      <alignment horizontal="center"/>
    </xf>
    <xf numFmtId="0" fontId="2" fillId="0" borderId="0" xfId="0" applyFont="1" applyAlignment="1">
      <alignment horizontal="center"/>
    </xf>
    <xf numFmtId="166" fontId="2" fillId="4" borderId="2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12" fillId="8" borderId="2" xfId="0" applyNumberFormat="1" applyFont="1" applyFill="1" applyBorder="1" applyAlignment="1">
      <alignment horizontal="center" vertical="center"/>
    </xf>
    <xf numFmtId="0" fontId="2" fillId="4" borderId="43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1" fillId="2" borderId="0" xfId="0" applyFont="1" applyFill="1"/>
    <xf numFmtId="166" fontId="12" fillId="8" borderId="9" xfId="0" applyNumberFormat="1" applyFont="1" applyFill="1" applyBorder="1" applyAlignment="1">
      <alignment horizontal="center" vertical="center"/>
    </xf>
    <xf numFmtId="2" fontId="11" fillId="0" borderId="10" xfId="0" applyNumberFormat="1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11" fillId="0" borderId="46" xfId="0" applyFont="1" applyBorder="1"/>
    <xf numFmtId="0" fontId="2" fillId="9" borderId="7" xfId="0" applyFont="1" applyFill="1" applyBorder="1" applyAlignment="1">
      <alignment horizontal="center"/>
    </xf>
    <xf numFmtId="0" fontId="17" fillId="0" borderId="7" xfId="0" applyFont="1" applyBorder="1"/>
    <xf numFmtId="0" fontId="17" fillId="0" borderId="10" xfId="0" applyFont="1" applyBorder="1"/>
    <xf numFmtId="2" fontId="16" fillId="0" borderId="7" xfId="0" applyNumberFormat="1" applyFont="1" applyBorder="1" applyAlignment="1">
      <alignment horizontal="center" vertical="center"/>
    </xf>
    <xf numFmtId="2" fontId="16" fillId="0" borderId="10" xfId="0" applyNumberFormat="1" applyFont="1" applyBorder="1" applyAlignment="1">
      <alignment horizontal="center" vertical="center"/>
    </xf>
    <xf numFmtId="166" fontId="11" fillId="0" borderId="7" xfId="0" applyNumberFormat="1" applyFont="1" applyBorder="1"/>
    <xf numFmtId="166" fontId="11" fillId="0" borderId="10" xfId="0" applyNumberFormat="1" applyFont="1" applyBorder="1"/>
    <xf numFmtId="166" fontId="16" fillId="0" borderId="7" xfId="0" applyNumberFormat="1" applyFont="1" applyBorder="1" applyAlignment="1">
      <alignment horizontal="center" vertical="center"/>
    </xf>
    <xf numFmtId="166" fontId="2" fillId="0" borderId="7" xfId="0" applyNumberFormat="1" applyFont="1" applyBorder="1" applyAlignment="1">
      <alignment horizontal="center" vertical="center"/>
    </xf>
    <xf numFmtId="166" fontId="2" fillId="0" borderId="1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11" fillId="0" borderId="7" xfId="0" applyNumberFormat="1" applyFont="1" applyBorder="1" applyAlignment="1">
      <alignment horizontal="center" vertical="center"/>
    </xf>
    <xf numFmtId="0" fontId="11" fillId="0" borderId="7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" fillId="4" borderId="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 wrapText="1"/>
    </xf>
    <xf numFmtId="0" fontId="11" fillId="0" borderId="6" xfId="0" applyFont="1" applyBorder="1"/>
    <xf numFmtId="0" fontId="11" fillId="0" borderId="8" xfId="0" applyFont="1" applyBorder="1"/>
    <xf numFmtId="0" fontId="2" fillId="4" borderId="7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8" fillId="0" borderId="0" xfId="0" applyFont="1"/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3" fillId="4" borderId="75" xfId="0" applyFont="1" applyFill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 wrapText="1"/>
    </xf>
    <xf numFmtId="0" fontId="11" fillId="0" borderId="73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1" fillId="0" borderId="78" xfId="0" applyFont="1" applyBorder="1" applyAlignment="1">
      <alignment horizontal="center"/>
    </xf>
    <xf numFmtId="0" fontId="11" fillId="0" borderId="79" xfId="0" applyFont="1" applyBorder="1" applyAlignment="1">
      <alignment horizontal="center"/>
    </xf>
    <xf numFmtId="0" fontId="11" fillId="0" borderId="76" xfId="0" applyFont="1" applyBorder="1" applyAlignment="1">
      <alignment horizontal="center"/>
    </xf>
    <xf numFmtId="0" fontId="11" fillId="0" borderId="73" xfId="0" applyFont="1" applyBorder="1"/>
    <xf numFmtId="0" fontId="11" fillId="0" borderId="28" xfId="0" applyFont="1" applyBorder="1"/>
    <xf numFmtId="0" fontId="11" fillId="0" borderId="33" xfId="0" applyFont="1" applyBorder="1"/>
    <xf numFmtId="0" fontId="11" fillId="0" borderId="1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74" xfId="0" applyFont="1" applyBorder="1" applyAlignment="1">
      <alignment horizontal="center"/>
    </xf>
    <xf numFmtId="0" fontId="0" fillId="0" borderId="70" xfId="0" applyBorder="1" applyAlignment="1">
      <alignment horizontal="left"/>
    </xf>
    <xf numFmtId="0" fontId="2" fillId="4" borderId="47" xfId="0" applyFont="1" applyFill="1" applyBorder="1" applyAlignment="1">
      <alignment horizontal="center" vertical="center" wrapText="1"/>
    </xf>
    <xf numFmtId="0" fontId="2" fillId="4" borderId="43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6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11" borderId="47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3" fillId="11" borderId="45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55" xfId="0" applyFont="1" applyBorder="1" applyAlignment="1">
      <alignment horizontal="center"/>
    </xf>
    <xf numFmtId="0" fontId="11" fillId="0" borderId="46" xfId="0" applyFont="1" applyBorder="1" applyAlignment="1">
      <alignment horizontal="center"/>
    </xf>
    <xf numFmtId="0" fontId="3" fillId="4" borderId="4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166" fontId="11" fillId="0" borderId="9" xfId="0" applyNumberFormat="1" applyFont="1" applyBorder="1" applyAlignment="1">
      <alignment horizontal="center" vertical="center"/>
    </xf>
    <xf numFmtId="166" fontId="2" fillId="4" borderId="2" xfId="0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4" borderId="47" xfId="0" applyFont="1" applyFill="1" applyBorder="1" applyAlignment="1">
      <alignment horizontal="center" vertical="center"/>
    </xf>
    <xf numFmtId="0" fontId="2" fillId="4" borderId="44" xfId="0" applyFont="1" applyFill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2" fontId="12" fillId="8" borderId="2" xfId="0" applyNumberFormat="1" applyFont="1" applyFill="1" applyBorder="1" applyAlignment="1">
      <alignment horizontal="center" vertical="center"/>
    </xf>
    <xf numFmtId="166" fontId="12" fillId="8" borderId="9" xfId="0" applyNumberFormat="1" applyFont="1" applyFill="1" applyBorder="1" applyAlignment="1">
      <alignment horizontal="center" vertical="center"/>
    </xf>
    <xf numFmtId="2" fontId="12" fillId="8" borderId="9" xfId="0" applyNumberFormat="1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66" fontId="2" fillId="0" borderId="30" xfId="0" applyNumberFormat="1" applyFont="1" applyBorder="1" applyAlignment="1">
      <alignment horizontal="center" vertical="center"/>
    </xf>
    <xf numFmtId="0" fontId="2" fillId="4" borderId="75" xfId="0" applyFont="1" applyFill="1" applyBorder="1" applyAlignment="1">
      <alignment horizontal="center" vertical="center" wrapText="1"/>
    </xf>
    <xf numFmtId="0" fontId="2" fillId="4" borderId="76" xfId="0" applyFont="1" applyFill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0" fontId="11" fillId="0" borderId="4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11" fillId="4" borderId="2" xfId="0" applyFont="1" applyFill="1" applyBorder="1" applyAlignment="1">
      <alignment horizontal="left" vertical="center"/>
    </xf>
    <xf numFmtId="0" fontId="11" fillId="4" borderId="2" xfId="0" applyFont="1" applyFill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12" fillId="3" borderId="55" xfId="0" applyFont="1" applyFill="1" applyBorder="1" applyAlignment="1">
      <alignment horizontal="center" vertical="center"/>
    </xf>
    <xf numFmtId="0" fontId="12" fillId="3" borderId="46" xfId="0" applyFont="1" applyFill="1" applyBorder="1" applyAlignment="1">
      <alignment horizontal="center" vertical="center"/>
    </xf>
    <xf numFmtId="0" fontId="12" fillId="3" borderId="4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2" fillId="10" borderId="6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49" xfId="0" quotePrefix="1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" fillId="0" borderId="48" xfId="0" applyFont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11" fillId="4" borderId="19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2" fontId="11" fillId="0" borderId="2" xfId="0" applyNumberFormat="1" applyFont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0" borderId="24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2" fillId="0" borderId="2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7" xfId="0" applyFont="1" applyBorder="1" applyAlignment="1">
      <alignment horizontal="center" vertical="center"/>
    </xf>
    <xf numFmtId="0" fontId="2" fillId="4" borderId="29" xfId="0" applyFont="1" applyFill="1" applyBorder="1" applyAlignment="1">
      <alignment horizontal="center"/>
    </xf>
    <xf numFmtId="0" fontId="2" fillId="4" borderId="28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2" fillId="4" borderId="43" xfId="0" applyFont="1" applyFill="1" applyBorder="1" applyAlignment="1">
      <alignment horizontal="center" vertical="center"/>
    </xf>
    <xf numFmtId="0" fontId="2" fillId="4" borderId="45" xfId="0" applyFont="1" applyFill="1" applyBorder="1" applyAlignment="1">
      <alignment horizontal="center" vertical="center"/>
    </xf>
    <xf numFmtId="0" fontId="2" fillId="4" borderId="45" xfId="0" applyFont="1" applyFill="1" applyBorder="1" applyAlignment="1">
      <alignment horizontal="center" vertical="center" wrapText="1"/>
    </xf>
    <xf numFmtId="166" fontId="11" fillId="0" borderId="23" xfId="0" applyNumberFormat="1" applyFont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42" xfId="0" applyFont="1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0" fontId="12" fillId="3" borderId="47" xfId="0" applyFont="1" applyFill="1" applyBorder="1" applyAlignment="1">
      <alignment horizontal="center" vertical="center"/>
    </xf>
    <xf numFmtId="0" fontId="12" fillId="3" borderId="43" xfId="0" applyFont="1" applyFill="1" applyBorder="1" applyAlignment="1">
      <alignment horizontal="center" vertical="center"/>
    </xf>
    <xf numFmtId="0" fontId="12" fillId="3" borderId="45" xfId="0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4" borderId="27" xfId="0" applyFont="1" applyFill="1" applyBorder="1" applyAlignment="1">
      <alignment horizontal="center"/>
    </xf>
    <xf numFmtId="0" fontId="11" fillId="0" borderId="26" xfId="0" applyFont="1" applyBorder="1" applyAlignment="1">
      <alignment horizontal="center"/>
    </xf>
    <xf numFmtId="0" fontId="11" fillId="0" borderId="41" xfId="0" applyFont="1" applyBorder="1" applyAlignment="1">
      <alignment horizontal="center"/>
    </xf>
    <xf numFmtId="0" fontId="12" fillId="3" borderId="17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0" fontId="12" fillId="3" borderId="19" xfId="0" applyFont="1" applyFill="1" applyBorder="1" applyAlignment="1">
      <alignment horizontal="center" vertical="center"/>
    </xf>
    <xf numFmtId="0" fontId="0" fillId="4" borderId="32" xfId="0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0" fillId="4" borderId="27" xfId="0" applyFill="1" applyBorder="1" applyAlignment="1">
      <alignment horizontal="left"/>
    </xf>
    <xf numFmtId="0" fontId="0" fillId="4" borderId="28" xfId="0" applyFill="1" applyBorder="1" applyAlignment="1">
      <alignment horizontal="left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6" borderId="27" xfId="0" applyFont="1" applyFill="1" applyBorder="1" applyAlignment="1">
      <alignment horizontal="center"/>
    </xf>
    <xf numFmtId="0" fontId="1" fillId="6" borderId="56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0" fillId="0" borderId="47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0" fontId="2" fillId="4" borderId="32" xfId="0" applyFont="1" applyFill="1" applyBorder="1" applyAlignment="1">
      <alignment horizontal="center" vertical="center"/>
    </xf>
    <xf numFmtId="0" fontId="2" fillId="4" borderId="36" xfId="0" applyFont="1" applyFill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33" xfId="0" applyNumberFormat="1" applyFont="1" applyBorder="1" applyAlignment="1">
      <alignment horizontal="center" vertical="center"/>
    </xf>
    <xf numFmtId="0" fontId="2" fillId="4" borderId="35" xfId="0" applyFont="1" applyFill="1" applyBorder="1" applyAlignment="1">
      <alignment horizontal="center" vertic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8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" fillId="4" borderId="2" xfId="0" applyFont="1" applyFill="1" applyBorder="1" applyAlignment="1">
      <alignment horizontal="left"/>
    </xf>
    <xf numFmtId="0" fontId="0" fillId="4" borderId="2" xfId="0" applyFill="1" applyBorder="1" applyAlignment="1">
      <alignment horizontal="left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</cellXfs>
  <cellStyles count="4">
    <cellStyle name="Normal" xfId="0" builtinId="0"/>
    <cellStyle name="Normal 2" xfId="1" xr:uid="{640E1984-C8C1-4D3E-AD56-D5AB99B83F37}"/>
    <cellStyle name="Percent" xfId="3" builtinId="5"/>
    <cellStyle name="Porcentaje 2" xfId="2" xr:uid="{CDC77D97-F6DF-4809-9DD2-3F49B22D62E4}"/>
  </cellStyles>
  <dxfs count="27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2" formatCode="0.00"/>
      <alignment horizontal="center" vertical="top" textRotation="0" wrapText="0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2" formatCode="0.00"/>
      <alignment horizontal="center" vertical="top" textRotation="0" wrapText="0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" formatCode="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" formatCode="0"/>
      <alignment horizontal="center" vertical="top" textRotation="0" wrapText="0" indent="0" justifyLastLine="0" shrinkToFit="1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alignment horizontal="center" vertical="top" textRotation="0" wrapText="0" indent="0" justifyLastLine="0" shrinkToFit="1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365760</xdr:colOff>
          <xdr:row>0</xdr:row>
          <xdr:rowOff>0</xdr:rowOff>
        </xdr:from>
        <xdr:to>
          <xdr:col>7</xdr:col>
          <xdr:colOff>2247900</xdr:colOff>
          <xdr:row>0</xdr:row>
          <xdr:rowOff>358140</xdr:rowOff>
        </xdr:to>
        <xdr:sp macro="" textlink="">
          <xdr:nvSpPr>
            <xdr:cNvPr id="1033" name="ComboCiuda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1</xdr:row>
          <xdr:rowOff>60960</xdr:rowOff>
        </xdr:from>
        <xdr:to>
          <xdr:col>3</xdr:col>
          <xdr:colOff>762000</xdr:colOff>
          <xdr:row>1</xdr:row>
          <xdr:rowOff>441960</xdr:rowOff>
        </xdr:to>
        <xdr:sp macro="" textlink="">
          <xdr:nvSpPr>
            <xdr:cNvPr id="1035" name="Combo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1059180</xdr:colOff>
          <xdr:row>38</xdr:row>
          <xdr:rowOff>0</xdr:rowOff>
        </xdr:from>
        <xdr:to>
          <xdr:col>7</xdr:col>
          <xdr:colOff>365760</xdr:colOff>
          <xdr:row>39</xdr:row>
          <xdr:rowOff>358140</xdr:rowOff>
        </xdr:to>
        <xdr:sp macro="" textlink="">
          <xdr:nvSpPr>
            <xdr:cNvPr id="1039" name="Button_CO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2D3DE3-EB0A-4874-B06B-07F77C5AC396}" name="Ciudades" displayName="Ciudades" ref="A2:W42" totalsRowShown="0" headerRowDxfId="250" dataDxfId="248" headerRowBorderDxfId="249" tableBorderDxfId="247" totalsRowBorderDxfId="246">
  <autoFilter ref="A2:W42" xr:uid="{DC2D3DE3-EB0A-4874-B06B-07F77C5AC396}"/>
  <tableColumns count="23">
    <tableColumn id="1" xr3:uid="{1A5FD69F-7E62-436B-AEB4-AA61BDDBF539}" name="Código" dataDxfId="245"/>
    <tableColumn id="2" xr3:uid="{95FC3C81-E636-47A7-B349-E7BAAD7E912C}" name="Cat" dataDxfId="244"/>
    <tableColumn id="3" xr3:uid="{8DC4D50B-427D-406D-A4AA-C3BFC22EDDAB}" name="Nombre Estación" dataDxfId="243"/>
    <tableColumn id="4" xr3:uid="{96BA1694-682F-4A40-8C70-7053E775E28F}" name="Municipio" dataDxfId="242"/>
    <tableColumn id="5" xr3:uid="{80BE49E3-CB3D-4AE0-88A4-26852F5A50BB}" name="Departamento" dataDxfId="241"/>
    <tableColumn id="6" xr3:uid="{6BE5160E-ED9F-4B7A-A5AE-AAD00E570049}" name="Altitud" dataDxfId="240"/>
    <tableColumn id="7" xr3:uid="{7F6F83D8-6A9F-4EDD-8346-EFD1C16C7116}" name="Presion_Atm" dataDxfId="239">
      <calculatedColumnFormula>(101325*EXP(-Ciudades[[#This Row],[Altitud]]/((101325/(9.8*1.293)))))/6895</calculatedColumnFormula>
    </tableColumn>
    <tableColumn id="8" xr3:uid="{C78210BC-67D5-4038-851E-6BD757479613}" name="Latitud" dataDxfId="238">
      <calculatedColumnFormula>(101325*(1-(Ciudades[[#This Row],[Altitud]]*0.00651*8.314*1.293/101325))^(9.8/(0.00651*8.314)))/6895</calculatedColumnFormula>
    </tableColumn>
    <tableColumn id="9" xr3:uid="{4589DCDC-2926-4171-B534-2CEF616C0D41}" name="Ene" dataDxfId="237"/>
    <tableColumn id="10" xr3:uid="{DB1E761D-EE03-4691-BC24-F6695059D925}" name="Feb" dataDxfId="236"/>
    <tableColumn id="11" xr3:uid="{4A6E734C-CE9F-4BCB-9348-ADDAA613E0AC}" name="Mar" dataDxfId="235"/>
    <tableColumn id="12" xr3:uid="{AFAC4139-136B-419B-A291-26DD61DA9198}" name="Abr" dataDxfId="234"/>
    <tableColumn id="13" xr3:uid="{9F67A8A7-DA38-4116-9949-5D8F9B0DBA5A}" name="May" dataDxfId="233"/>
    <tableColumn id="14" xr3:uid="{95029879-A9D2-47CB-9AF8-1EEFCE5FE23F}" name="Jun" dataDxfId="232"/>
    <tableColumn id="15" xr3:uid="{C1D9D541-B98A-4017-885C-BCDF0D10007B}" name="Jul" dataDxfId="231"/>
    <tableColumn id="16" xr3:uid="{DA272C28-2B12-4858-B239-DA486073F46D}" name="Ago" dataDxfId="230"/>
    <tableColumn id="17" xr3:uid="{29E2DCF5-EC0F-449A-A3C9-2253AA1C3E36}" name="Sep" dataDxfId="229"/>
    <tableColumn id="18" xr3:uid="{5EA40CC1-0A01-4E1B-9733-E22A82B54283}" name="Oct" dataDxfId="228"/>
    <tableColumn id="19" xr3:uid="{0B7552EC-0D2F-4DA6-B392-6921938AA135}" name="Nov" dataDxfId="227"/>
    <tableColumn id="20" xr3:uid="{6986C612-DAA9-4696-ADDC-4DDC4E12E4A3}" name="Dic" dataDxfId="226"/>
    <tableColumn id="21" xr3:uid="{D6F9A330-4A6F-4912-B658-4B53AB00AA38}" name="Tmax" dataDxfId="225"/>
    <tableColumn id="22" xr3:uid="{303F9ACD-B5D9-4A22-A591-710E3628A991}" name="Tmin" dataDxfId="224"/>
    <tableColumn id="23" xr3:uid="{95751162-46F4-41D5-A24E-CB91D8A59D2E}" name="Tmed" dataDxfId="223"/>
  </tableColumns>
  <tableStyleInfo name="TableStyleLight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D18F68-3B1E-4388-87EB-17C60DEAA89E}" name="Refrigerantes" displayName="Refrigerantes" ref="Y2:Y12" totalsRowShown="0">
  <autoFilter ref="Y2:Y12" xr:uid="{EDD18F68-3B1E-4388-87EB-17C60DEAA89E}"/>
  <tableColumns count="1">
    <tableColumn id="1" xr3:uid="{BA1ECF19-4015-45C2-8998-0354C0E4E908}" name="Refrigerante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C87BBF-AF07-4B0E-8562-87C07C6CD083}" name="Tab_R22" displayName="Tab_R22" ref="A51:U121" totalsRowShown="0" headerRowDxfId="222" dataDxfId="221">
  <autoFilter ref="A51:U121" xr:uid="{5DC87BBF-AF07-4B0E-8562-87C07C6CD083}"/>
  <tableColumns count="21">
    <tableColumn id="1" xr3:uid="{2256756D-BCC1-4988-89F8-358DDA791E0A}" name="Temp [C]" dataDxfId="220"/>
    <tableColumn id="2" xr3:uid="{2369FC69-5E93-454A-915A-601287392C28}" name="Pressure [Mpa]" dataDxfId="219"/>
    <tableColumn id="3" xr3:uid="{5D1A6364-A37B-4847-BF95-EC31838B62FF}" name="Pressure [psi]" dataDxfId="218">
      <calculatedColumnFormula>B52*145.038</calculatedColumnFormula>
    </tableColumn>
    <tableColumn id="4" xr3:uid="{B04CAB1C-C871-4BD4-B45E-E0D8FF10EF28}" name="Density_f [kg/m3]" dataDxfId="217"/>
    <tableColumn id="5" xr3:uid="{351F0B85-9FDE-4CD8-91E1-FA404668C61C}" name="Density_g [kg/m3]" dataDxfId="216">
      <calculatedColumnFormula>1/F52</calculatedColumnFormula>
    </tableColumn>
    <tableColumn id="6" xr3:uid="{6C2E8016-3635-4296-8951-D6AB5F9BD9D3}" name="VolS_g [kg/m3]" dataDxfId="215"/>
    <tableColumn id="7" xr3:uid="{0D11D002-63E3-43C8-B4D4-E379C1923A0F}" name="Enthalpy_f [kJ/kg]" dataDxfId="214"/>
    <tableColumn id="8" xr3:uid="{90722F47-4B9F-4E3D-B9C8-3658E950AEBC}" name="Enthalpy_g [kJ/kg]" dataDxfId="213"/>
    <tableColumn id="9" xr3:uid="{FB458F40-6390-4479-BAF0-B47B2AFA7325}" name="Entropy_f [kJ/kg.K]" dataDxfId="212"/>
    <tableColumn id="10" xr3:uid="{41CB2C00-4B54-483B-8963-E8A41EC33253}" name="Entropy_g [kJ/kg.K]" dataDxfId="211"/>
    <tableColumn id="11" xr3:uid="{4C573473-B3A2-4911-ABF2-B9CADAF6052D}" name="Cp_f [kJ/kg/K]" dataDxfId="210"/>
    <tableColumn id="12" xr3:uid="{4533A51E-BFB5-4A3E-970C-8A8A96BCE488}" name="Cp_g [kJ/kg/K]" dataDxfId="209"/>
    <tableColumn id="13" xr3:uid="{95DC602E-5681-4B5A-9FB2-7B460ACFD041}" name="Cp/Cv" dataDxfId="208"/>
    <tableColumn id="14" xr3:uid="{1FA1218F-7A0E-4024-A6DB-4840A7C74D2D}" name="Vs_f [m/s]" dataDxfId="207"/>
    <tableColumn id="15" xr3:uid="{36B00B8B-520B-4FFF-B29B-1A75A19CE646}" name="Vs_g [m/s]" dataDxfId="206"/>
    <tableColumn id="16" xr3:uid="{7EF2169F-5CEC-49FB-9956-62050EA3E615}" name="Viscosity_f [uPa.s]" dataDxfId="205"/>
    <tableColumn id="17" xr3:uid="{5A1DE844-CF53-4234-89DF-D4A0487C855C}" name="Viscosity_g [uPa.s]" dataDxfId="204"/>
    <tableColumn id="18" xr3:uid="{EBDC40FB-B7DF-43E8-96F1-B0E34364CEBE}" name="Thermal Cond_f [mW/m.K]" dataDxfId="203"/>
    <tableColumn id="19" xr3:uid="{BC2A7BDB-29D5-4354-827A-2C8EE6BE1D9F}" name="Thermal Cond_g [mW/m.K]" dataDxfId="202"/>
    <tableColumn id="20" xr3:uid="{E8B8B04B-1404-4549-B4DD-BCD2F6969D96}" name="Surface Tension [mN/m]" dataDxfId="201"/>
    <tableColumn id="21" xr3:uid="{B96B3891-DDA6-40EA-B33F-9A0371E40F4F}" name="Temp [C]2" dataDxfId="20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A6596E3-617F-40AF-8F2A-A9041482774F}" name="TAB_R134" displayName="TAB_R134" ref="A125:U195" totalsRowShown="0" headerRowDxfId="199" dataDxfId="197" headerRowBorderDxfId="198" tableBorderDxfId="196">
  <autoFilter ref="A125:U195" xr:uid="{1A6596E3-617F-40AF-8F2A-A9041482774F}"/>
  <tableColumns count="21">
    <tableColumn id="1" xr3:uid="{4FE90405-CBD3-4BCA-B2E2-CC354F678122}" name="Temp [C]" dataDxfId="195"/>
    <tableColumn id="2" xr3:uid="{AEAB27F1-084F-4E5F-A9A9-28FA068759E4}" name="Pressure [Mpa]" dataDxfId="194"/>
    <tableColumn id="3" xr3:uid="{2EC2DF59-6F6F-4F90-A1DD-67187523A59F}" name="Pressure [psi]" dataDxfId="193">
      <calculatedColumnFormula>B126*145.038</calculatedColumnFormula>
    </tableColumn>
    <tableColumn id="4" xr3:uid="{1F12FFA4-AF8B-47FD-9A56-31DF243ACB01}" name="Density_f [kg/m3]" dataDxfId="192"/>
    <tableColumn id="5" xr3:uid="{62FB6B94-5F7A-414B-80A0-20467654A677}" name="Density_g [kg/m3]" dataDxfId="191">
      <calculatedColumnFormula>1/F126</calculatedColumnFormula>
    </tableColumn>
    <tableColumn id="6" xr3:uid="{AD83AC9D-1C6D-467F-ABCE-AA8DDD35C07C}" name="VolS_g [kg/m3]" dataDxfId="190"/>
    <tableColumn id="7" xr3:uid="{A3F12749-832A-4C06-8865-0FD6355E67D4}" name="Enthalpy_f [kJ/kg]" dataDxfId="189"/>
    <tableColumn id="8" xr3:uid="{8D788883-83FA-463C-BA11-696901AC6B1E}" name="Enthalpy_g [kJ/kg]" dataDxfId="188"/>
    <tableColumn id="9" xr3:uid="{BEA4797F-EBCE-44F4-9604-335B94D9F0A0}" name="Entropy_f [kJ/kg.K]" dataDxfId="187"/>
    <tableColumn id="10" xr3:uid="{CCDF52B6-6EB3-46F8-94E0-B5839815780D}" name="Entropy_g [kJ/kg.K]" dataDxfId="186"/>
    <tableColumn id="11" xr3:uid="{22981C1B-6553-4EF5-A334-1D7803D3A09A}" name="Cp_f [kJ/kg/K]" dataDxfId="185"/>
    <tableColumn id="12" xr3:uid="{67683E23-75F3-4BFD-8083-1AB646558AF2}" name="Cp_g [kJ/kg/K]" dataDxfId="184"/>
    <tableColumn id="13" xr3:uid="{CC2FFECD-554F-4207-A82C-6EADB7E8BC6F}" name="Cp/Cv" dataDxfId="183"/>
    <tableColumn id="14" xr3:uid="{71E3BADC-5C3A-49CD-B90D-3E6AD9A60A9C}" name="Vs_f [m/s]" dataDxfId="182"/>
    <tableColumn id="15" xr3:uid="{FE5B3EF3-5CB0-4073-85D8-469B32201B1E}" name="Vs_g [m/s]" dataDxfId="181"/>
    <tableColumn id="16" xr3:uid="{0A45D73A-11D0-4AAB-A6A2-3D3D97A19668}" name="Viscosity_f [uPa.s]" dataDxfId="180"/>
    <tableColumn id="17" xr3:uid="{C6A343D4-39C9-4ECE-8174-D85AA57C68D9}" name="Viscosity_g [uPa.s]" dataDxfId="179"/>
    <tableColumn id="18" xr3:uid="{956FB33D-8A50-4DF1-A1D2-60122D216D67}" name="Thermal Cond_f [mW/m.K]" dataDxfId="178"/>
    <tableColumn id="19" xr3:uid="{AE21A7D0-C8B3-4655-8BAA-1311C12E6C18}" name="Thermal Cond_g [mW/m.K]" dataDxfId="177"/>
    <tableColumn id="20" xr3:uid="{6DFE0238-F892-4712-8B0C-84EB8277DDD1}" name="Surface Tension [mN/m]" dataDxfId="176"/>
    <tableColumn id="21" xr3:uid="{67087703-5339-453C-95C5-52691375B257}" name="Temp [C]2" dataDxfId="175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681690-7F65-4ABD-AF8D-FBE101B348A8}" name="Tab_R507" displayName="Tab_R507" ref="A266:U333" totalsRowShown="0" headerRowDxfId="174" dataDxfId="172" headerRowBorderDxfId="173" tableBorderDxfId="171">
  <autoFilter ref="A266:U333" xr:uid="{D9681690-7F65-4ABD-AF8D-FBE101B348A8}"/>
  <tableColumns count="21">
    <tableColumn id="1" xr3:uid="{D2B4FFB5-51E9-43BE-B44C-E06D136127EE}" name="Temp [C]" dataDxfId="170"/>
    <tableColumn id="2" xr3:uid="{3A5A811C-A4E2-4729-A435-5873534333D0}" name="Pressure [Mpa]" dataDxfId="169"/>
    <tableColumn id="3" xr3:uid="{6CE1B6DC-8A98-441A-9801-1D5186A5D94C}" name="Pressure [psi]" dataDxfId="168">
      <calculatedColumnFormula>B267*145.038</calculatedColumnFormula>
    </tableColumn>
    <tableColumn id="4" xr3:uid="{630CF76E-4412-4E20-84F2-2356E015A2AF}" name="Density_f [kg/m3]" dataDxfId="167"/>
    <tableColumn id="5" xr3:uid="{EC8C87C3-1A89-42F8-B2DC-5B892BCBE64B}" name="Density_g [kg/m3]" dataDxfId="166">
      <calculatedColumnFormula>1/F267</calculatedColumnFormula>
    </tableColumn>
    <tableColumn id="6" xr3:uid="{BD1EF99B-B525-46E7-B73F-AD4D32EECADD}" name="VolS_g [kg/m3]" dataDxfId="165"/>
    <tableColumn id="7" xr3:uid="{956F301B-495F-4FA6-AAB2-E3538084B89E}" name="Enthalpy_f [kJ/kg]" dataDxfId="164"/>
    <tableColumn id="8" xr3:uid="{B60E1CFB-9B97-441D-A5A9-30E318F424C2}" name="Enthalpy_g [kJ/kg]" dataDxfId="163"/>
    <tableColumn id="9" xr3:uid="{A3040945-BC72-4020-9994-73B577265480}" name="Entropy_f [kJ/kg.K]" dataDxfId="162"/>
    <tableColumn id="10" xr3:uid="{25BB0DCB-26F7-4142-A206-E1BF3B0FA18D}" name="Entropy_g [kJ/kg.K]" dataDxfId="161"/>
    <tableColumn id="11" xr3:uid="{65081CE7-C9CE-40D9-BEB5-958DBF80C639}" name="Cp_f [kJ/kg/K]" dataDxfId="160"/>
    <tableColumn id="12" xr3:uid="{193B8815-DB40-4D4D-920E-66B4B282B4DC}" name="Cp_g [kJ/kg/K]" dataDxfId="159"/>
    <tableColumn id="13" xr3:uid="{52C9DAFE-F89E-4F70-A22B-9FB9F05FBE22}" name="Cp/Cv" dataDxfId="158"/>
    <tableColumn id="14" xr3:uid="{C85DC40F-165F-4F76-9F06-873568EC099B}" name="Vs_f [m/s]" dataDxfId="157"/>
    <tableColumn id="15" xr3:uid="{FCCF2299-51B2-4C10-9516-D24606F48454}" name="Vs_g [m/s]" dataDxfId="156"/>
    <tableColumn id="16" xr3:uid="{CF6F2D53-CDC9-4385-8A42-D32BB8B92DD4}" name="Viscosity_f [uPa.s]" dataDxfId="155"/>
    <tableColumn id="17" xr3:uid="{AC1A1608-21C9-47AD-B305-91D57268EAC0}" name="Viscosity_g [uPa.s]" dataDxfId="154"/>
    <tableColumn id="18" xr3:uid="{1ADFFCE8-3FA3-46E4-AE4C-E91CAF1D2993}" name="Thermal Cond_f [mW/m.K]" dataDxfId="153"/>
    <tableColumn id="19" xr3:uid="{8895EE74-D9CA-4EC9-B8CB-8605EA99B5AF}" name="Thermal Cond_g [mW/m.K]" dataDxfId="152"/>
    <tableColumn id="20" xr3:uid="{BD7E547E-7E19-499F-92CC-488BABC02F95}" name="Surface Tension [mN/m]" dataDxfId="151"/>
    <tableColumn id="21" xr3:uid="{060793B0-224E-4B92-98CF-F050A8B9D773}" name="Temp [C]2" dataDxfId="150"/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30ACED-CA26-4263-9164-3810E5944837}" name="Tab_R717" displayName="Tab_R717" ref="A338:U406" totalsRowShown="0" headerRowDxfId="149" dataDxfId="147" headerRowBorderDxfId="148" tableBorderDxfId="146">
  <autoFilter ref="A338:U406" xr:uid="{F530ACED-CA26-4263-9164-3810E5944837}"/>
  <tableColumns count="21">
    <tableColumn id="1" xr3:uid="{2C91A704-3424-46E3-ACD8-F0097C78927B}" name="Temp [C]" dataDxfId="145"/>
    <tableColumn id="2" xr3:uid="{26F5C8A8-7EBE-4516-A37C-429BF8EB991F}" name="Pressure [Mpa]" dataDxfId="144"/>
    <tableColumn id="3" xr3:uid="{229F725F-9DFF-4839-97A3-1439571968B7}" name="Pressure [psi]" dataDxfId="143">
      <calculatedColumnFormula>B339*145.038</calculatedColumnFormula>
    </tableColumn>
    <tableColumn id="4" xr3:uid="{DD90F00C-0215-4A5A-9669-2A04CE5F2DA6}" name="Density_f [kg/m3]" dataDxfId="142"/>
    <tableColumn id="5" xr3:uid="{F8665537-C85E-4AB2-B01B-51ADE09405E8}" name="Density_g [kg/m3]" dataDxfId="141">
      <calculatedColumnFormula>1/F339</calculatedColumnFormula>
    </tableColumn>
    <tableColumn id="6" xr3:uid="{83B842F9-B997-4CF8-8523-E4D33A5AD4C3}" name="VolS_g [kg/m3]" dataDxfId="140"/>
    <tableColumn id="7" xr3:uid="{A0A53532-38A4-4753-920A-FC5A3B5D9767}" name="Enthalpy_f [kJ/kg]" dataDxfId="139"/>
    <tableColumn id="8" xr3:uid="{2E5D4AF2-CE7A-483D-A512-46A8627EF761}" name="Enthalpy_g [kJ/kg]" dataDxfId="138"/>
    <tableColumn id="9" xr3:uid="{4BBA7552-8B84-4664-A706-CC43D3E243F5}" name="Entropy_f [kJ/kg.K]" dataDxfId="137"/>
    <tableColumn id="10" xr3:uid="{264FE5BB-46A3-4531-A06C-65B02D07C125}" name="Entropy_g [kJ/kg.K]" dataDxfId="136"/>
    <tableColumn id="11" xr3:uid="{E3A7E6F7-2AD3-4314-8720-0E020857AD42}" name="Cp_f [kJ/kg/K]" dataDxfId="135"/>
    <tableColumn id="12" xr3:uid="{32C807CF-DBE7-44A6-9402-6471E50B642B}" name="Cp_g [kJ/kg/K]" dataDxfId="134"/>
    <tableColumn id="13" xr3:uid="{228A0238-89B4-4CA1-BF74-07A9CDA28EE4}" name="Cp/Cv" dataDxfId="133"/>
    <tableColumn id="14" xr3:uid="{D94FAE86-EA3E-4FDE-B3C5-598FB03F0C7B}" name="Vs_f [m/s]" dataDxfId="132"/>
    <tableColumn id="15" xr3:uid="{8EB0484C-55BC-40C3-B60B-6D16C0BB600E}" name="Vs_g [m/s]" dataDxfId="131"/>
    <tableColumn id="16" xr3:uid="{CFE38C9C-7136-4D27-A26D-E75D4D252189}" name="Viscosity_f [uPa.s]" dataDxfId="130"/>
    <tableColumn id="17" xr3:uid="{EA5BFF55-0B9F-4151-A439-1B370E4323B5}" name="Viscosity_g [uPa.s]" dataDxfId="129"/>
    <tableColumn id="18" xr3:uid="{3371F024-550A-4384-9F1A-2F8050E6CD77}" name="Thermal Cond_f [mW/m.K]" dataDxfId="128"/>
    <tableColumn id="19" xr3:uid="{289A15E3-F6CC-44C2-BA86-7A2ACCD0611D}" name="Thermal Cond_g [mW/m.K]" dataDxfId="127"/>
    <tableColumn id="20" xr3:uid="{4CAFFABC-5A46-41CB-B4E3-D8EB659EA23D}" name="Surface Tension [mN/m]" dataDxfId="126"/>
    <tableColumn id="21" xr3:uid="{B2504E5A-C48D-4E3B-B2D5-52B3AD6DDA7A}" name="Temp [C]2" dataDxfId="125"/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FBCECE-5785-4DE9-81B4-52B70739C883}" name="Tab_R718" displayName="Tab_R718" ref="A412:U482" totalsRowShown="0" headerRowDxfId="124" dataDxfId="122" headerRowBorderDxfId="123" tableBorderDxfId="121">
  <autoFilter ref="A412:U482" xr:uid="{78FBCECE-5785-4DE9-81B4-52B70739C883}"/>
  <tableColumns count="21">
    <tableColumn id="1" xr3:uid="{CD4AE494-2CE1-4527-AC02-CBC80A289CE2}" name="Temp [C]" dataDxfId="120"/>
    <tableColumn id="2" xr3:uid="{BEB8940D-DFD4-4088-867F-063E6CAB0BBA}" name="Pressure [Mpa]" dataDxfId="119"/>
    <tableColumn id="3" xr3:uid="{DCCAC8FB-ABD4-442B-AC05-F1717609BB79}" name="Pressure [psi]" dataDxfId="118">
      <calculatedColumnFormula>B413*145.038</calculatedColumnFormula>
    </tableColumn>
    <tableColumn id="4" xr3:uid="{B36DA5CD-1CC3-4451-8113-1BA4F8230671}" name="Density_f [kg/m3]" dataDxfId="117"/>
    <tableColumn id="5" xr3:uid="{2F51E5AE-9B9B-4819-9E49-28B908513966}" name="Density_g [kg/m3]" dataDxfId="116">
      <calculatedColumnFormula>1/F413</calculatedColumnFormula>
    </tableColumn>
    <tableColumn id="6" xr3:uid="{90119FDB-EAF7-4D3A-8BF3-0423326EFF78}" name="VolS_g [kg/m3]" dataDxfId="115"/>
    <tableColumn id="7" xr3:uid="{3AA3EFA2-91AB-40F9-A138-747FFE394C8E}" name="Enthalpy_f [kJ/kg]" dataDxfId="114"/>
    <tableColumn id="8" xr3:uid="{1A733566-C9A9-4BAA-95E1-72B959BECED9}" name="Enthalpy_g [kJ/kg]" dataDxfId="113"/>
    <tableColumn id="9" xr3:uid="{EF3A00FE-EEE4-4E31-A3AB-D1EAD5220E8C}" name="Entropy_f [kJ/kg.K]" dataDxfId="112"/>
    <tableColumn id="10" xr3:uid="{BAC122CA-945F-49CE-B89E-620152EF5B0A}" name="Entropy_g [kJ/kg.K]" dataDxfId="111"/>
    <tableColumn id="11" xr3:uid="{BA5EC94C-8236-4A5B-9FE2-FE1EAAABA7C0}" name="Cp_f [kJ/kg/K]" dataDxfId="110"/>
    <tableColumn id="12" xr3:uid="{54D7623D-3298-4049-AD16-6A2B631A4F17}" name="Cp_g [kJ/kg/K]" dataDxfId="109"/>
    <tableColumn id="13" xr3:uid="{60AB85AD-8C40-40A8-94CA-87C347A61848}" name="Cp/Cv" dataDxfId="108"/>
    <tableColumn id="14" xr3:uid="{DF76082C-D9E5-4A73-9D78-DB788D09A8D0}" name="Vs_f [m/s]" dataDxfId="107"/>
    <tableColumn id="15" xr3:uid="{78110158-85D9-45A3-92BE-0BA17B042A5D}" name="Vs_g [m/s]" dataDxfId="106"/>
    <tableColumn id="16" xr3:uid="{B15C998E-CECD-4C41-B9F7-FF173045B826}" name="Viscosity_f [uPa.s]" dataDxfId="105"/>
    <tableColumn id="17" xr3:uid="{B0D89424-8BD1-42DA-8218-83C08F9A6161}" name="Viscosity_g [uPa.s]" dataDxfId="104"/>
    <tableColumn id="18" xr3:uid="{8F248F78-0E5A-432C-A2EC-AA2D6A67DB2C}" name="Thermal Cond_f [mW/m.K]" dataDxfId="103"/>
    <tableColumn id="19" xr3:uid="{0FA95AA9-8B38-4258-B057-03BEF38AFE1B}" name="Thermal Cond_g [mW/m.K]" dataDxfId="102"/>
    <tableColumn id="20" xr3:uid="{8F1309E8-8E71-45BA-8745-97DECA7D2E9E}" name="Surface Tension [mN/m]" dataDxfId="101"/>
    <tableColumn id="21" xr3:uid="{34D89140-95A8-4B5D-B426-9FA846B6FC4A}" name="Temp [C]2" dataDxfId="100"/>
  </tableColumns>
  <tableStyleInfo name="TableStyleMedium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7474BC-4FFD-40FE-B74F-37A371F0FC3F}" name="Tab_R744" displayName="Tab_R744" ref="A487:U555" totalsRowShown="0" headerRowDxfId="99" dataDxfId="97" headerRowBorderDxfId="98" tableBorderDxfId="96">
  <autoFilter ref="A487:U555" xr:uid="{A27474BC-4FFD-40FE-B74F-37A371F0FC3F}"/>
  <tableColumns count="21">
    <tableColumn id="1" xr3:uid="{679776C7-35AB-4152-BDE6-236E0C875474}" name="Temp [C]" dataDxfId="95"/>
    <tableColumn id="2" xr3:uid="{00864AEA-1E16-4707-973D-6BB45C5F0CB0}" name="Pressure [Mpa]" dataDxfId="94"/>
    <tableColumn id="3" xr3:uid="{BA6D4BD0-18C1-4CE9-B225-C8366E6F8FEC}" name="Pressure [psi]" dataDxfId="93">
      <calculatedColumnFormula>B488*145.038</calculatedColumnFormula>
    </tableColumn>
    <tableColumn id="4" xr3:uid="{633D7172-707B-430C-A3F9-029E01A84B4C}" name="Density_f [kg/m3]" dataDxfId="92"/>
    <tableColumn id="5" xr3:uid="{99FC3965-F663-4B96-AE29-4A6DDA278813}" name="Density_g [kg/m3]" dataDxfId="91">
      <calculatedColumnFormula>1/F488</calculatedColumnFormula>
    </tableColumn>
    <tableColumn id="6" xr3:uid="{3E15C908-C208-4A3F-971D-798BDFF04226}" name="VolS_g [kg/m3]" dataDxfId="90"/>
    <tableColumn id="7" xr3:uid="{81B59ED5-B844-445D-A742-EF7BA01C4FA9}" name="Enthalpy_f [kJ/kg]" dataDxfId="89"/>
    <tableColumn id="8" xr3:uid="{3716678E-E6FF-43F4-A24E-1AD9FB7DE470}" name="Enthalpy_g [kJ/kg]" dataDxfId="88"/>
    <tableColumn id="9" xr3:uid="{F88763F2-AC50-4F61-ABD7-672EDA3C3BED}" name="Entropy_f [kJ/kg.K]" dataDxfId="87"/>
    <tableColumn id="10" xr3:uid="{BC27F2E5-C09F-4D30-A24C-2EC2276B3C94}" name="Entropy_g [kJ/kg.K]" dataDxfId="86"/>
    <tableColumn id="11" xr3:uid="{0AC1A6D4-4C6E-4937-8640-72BC373362FF}" name="Cp_f [kJ/kg/K]" dataDxfId="85"/>
    <tableColumn id="12" xr3:uid="{18D244D4-6D2D-4269-BF09-019E0340A591}" name="Cp_g [kJ/kg/K]" dataDxfId="84"/>
    <tableColumn id="13" xr3:uid="{8038A2DD-305C-4C50-97B1-11D3CCFAAE38}" name="Cp/Cv" dataDxfId="83"/>
    <tableColumn id="14" xr3:uid="{7F70F3F7-F104-4E76-BD83-598EEF3A576A}" name="Vs_f [m/s]" dataDxfId="82"/>
    <tableColumn id="15" xr3:uid="{D4F8AFB5-73B5-464D-979A-508423DD164B}" name="Vs_g [m/s]" dataDxfId="81"/>
    <tableColumn id="16" xr3:uid="{3B8AE51D-5925-477B-92E7-81E4D53D5979}" name="Viscosity_f [uPa.s]" dataDxfId="80"/>
    <tableColumn id="17" xr3:uid="{188CCE65-0C13-4BB0-83D9-FF14908AAB65}" name="Viscosity_g [uPa.s]" dataDxfId="79"/>
    <tableColumn id="18" xr3:uid="{0426DFF6-A96D-410F-826A-520B64C1B87E}" name="Thermal Cond_f [mW/m.K]" dataDxfId="78"/>
    <tableColumn id="19" xr3:uid="{88F0A73B-C34E-4DA6-8729-2F3BB4692038}" name="Thermal Cond_g [mW/m.K]" dataDxfId="77"/>
    <tableColumn id="20" xr3:uid="{F0A3278E-3A9A-4808-88B6-96EA9EB906A5}" name="Surface Tension [mN/m]" dataDxfId="76"/>
    <tableColumn id="21" xr3:uid="{B53FED67-02E3-44FB-9200-560F0E68D408}" name="Temp [C]2" dataDxfId="75"/>
  </tableColumns>
  <tableStyleInfo name="TableStyleMedium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BA20EFD-321C-4123-8532-45D248FC9260}" name="Tab_R290" displayName="Tab_R290" ref="A559:U627" totalsRowShown="0" headerRowDxfId="74" dataDxfId="72" headerRowBorderDxfId="73" tableBorderDxfId="71">
  <autoFilter ref="A559:U627" xr:uid="{3BA20EFD-321C-4123-8532-45D248FC9260}"/>
  <tableColumns count="21">
    <tableColumn id="1" xr3:uid="{93F6F146-1FE2-44CF-BE85-7AC1C2D58028}" name="Temp [C]" dataDxfId="70"/>
    <tableColumn id="2" xr3:uid="{16EAC8C0-0857-4532-9C4B-444DC175D95D}" name="Pressure [Mpa]" dataDxfId="69"/>
    <tableColumn id="3" xr3:uid="{D472E3AB-D3E9-4CD8-A3BD-85D063936C98}" name="Pressure [psi]" dataDxfId="68">
      <calculatedColumnFormula>B560*145.038</calculatedColumnFormula>
    </tableColumn>
    <tableColumn id="4" xr3:uid="{38A5E11B-8F07-4CC0-BBA3-364AC12B0098}" name="Density_f [kg/m3]" dataDxfId="67"/>
    <tableColumn id="5" xr3:uid="{54B83889-ECC7-435F-8563-FFF2EB37EE4F}" name="Density_g [kg/m3]" dataDxfId="66">
      <calculatedColumnFormula>1/F560</calculatedColumnFormula>
    </tableColumn>
    <tableColumn id="6" xr3:uid="{DAEA4C98-EADB-47E7-AEF3-CB5ADE806E14}" name="VolS_g [kg/m3]" dataDxfId="65"/>
    <tableColumn id="7" xr3:uid="{A4A0199F-9C5F-407D-BF24-3BCD258724C8}" name="Enthalpy_f [kJ/kg]" dataDxfId="64"/>
    <tableColumn id="8" xr3:uid="{64F4FF83-F166-4DBA-AF88-D97AF1BBB1BA}" name="Enthalpy_g [kJ/kg]" dataDxfId="63"/>
    <tableColumn id="9" xr3:uid="{2BAC3A6F-42E4-4026-9A8F-F3BB382C845F}" name="Entropy_f [kJ/kg.K]" dataDxfId="62"/>
    <tableColumn id="10" xr3:uid="{BDC60635-C541-4E86-984C-A555A2D397F9}" name="Entropy_g [kJ/kg.K]" dataDxfId="61"/>
    <tableColumn id="11" xr3:uid="{A7AA7BBF-642C-40E7-B0A8-FE05D9B7FDF7}" name="Cp_f [kJ/kg/K]" dataDxfId="60"/>
    <tableColumn id="12" xr3:uid="{2C0DF3BF-FD75-4908-B796-0A7F366D446C}" name="Cp_g [kJ/kg/K]" dataDxfId="59"/>
    <tableColumn id="13" xr3:uid="{58267C71-F74A-48A8-82EC-540E4F443783}" name="Cp/Cv" dataDxfId="58"/>
    <tableColumn id="14" xr3:uid="{1F8DAB39-13F8-4009-99DD-7B45B1416926}" name="Vs_f [m/s]" dataDxfId="57"/>
    <tableColumn id="15" xr3:uid="{8E41AAA8-F9AE-4CF1-A740-E9A3096B1BBB}" name="Vs_g [m/s]" dataDxfId="56"/>
    <tableColumn id="16" xr3:uid="{49BEF604-1CA9-4E5D-81BE-5F54DBB88CDE}" name="Viscosity_f [uPa.s]" dataDxfId="55"/>
    <tableColumn id="17" xr3:uid="{318780C3-3729-4A16-A812-66B0EE989ADA}" name="Viscosity_g [uPa.s]" dataDxfId="54"/>
    <tableColumn id="18" xr3:uid="{0A2E12F5-2392-451B-BD18-1D5256B90514}" name="Thermal Cond_f [mW/m.K]" dataDxfId="53"/>
    <tableColumn id="19" xr3:uid="{AB358CBB-5A4B-4D4A-B87C-17A4C16D20EA}" name="Thermal Cond_g [mW/m.K]" dataDxfId="52"/>
    <tableColumn id="20" xr3:uid="{F0C5AEC2-4E0E-409C-BA90-5D0F369CC3C0}" name="Surface Tension [mN/m]" dataDxfId="51"/>
    <tableColumn id="21" xr3:uid="{FDF0A161-F833-45B5-BD81-B5A0A1B530A3}" name="Temp [C]2" dataDxfId="50"/>
  </tableColumns>
  <tableStyleInfo name="TableStyleMedium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29D356-6664-4500-B9D2-2832A00BAAB0}" name="Tab_R410" displayName="Tab_R410" ref="A198:V262" totalsRowShown="0" headerRowDxfId="49" dataDxfId="47" headerRowBorderDxfId="48" tableBorderDxfId="46">
  <autoFilter ref="A198:V262" xr:uid="{BC29D356-6664-4500-B9D2-2832A00BAAB0}"/>
  <tableColumns count="22">
    <tableColumn id="1" xr3:uid="{747780A2-2BDD-470F-8179-486B30B4F2C2}" name="Pressure [Mpa]" dataDxfId="45"/>
    <tableColumn id="2" xr3:uid="{3E6F5A8F-AE77-42F4-815A-C4F6883482E7}" name="Pressure [psi]" dataDxfId="44">
      <calculatedColumnFormula>V199*145.038</calculatedColumnFormula>
    </tableColumn>
    <tableColumn id="3" xr3:uid="{A0746E6C-0697-4474-BEEB-67597C5FFACF}" name="Temp_Bubble  [C]" dataDxfId="43"/>
    <tableColumn id="4" xr3:uid="{8A26B52E-88E1-4517-999E-030AE3C72572}" name="Temp_Dew [C]" dataDxfId="42"/>
    <tableColumn id="5" xr3:uid="{610822CC-1F3C-4C8D-A66B-7CCB90275932}" name="Density_f [kg/m3]" dataDxfId="41"/>
    <tableColumn id="6" xr3:uid="{94E5406D-8043-453C-9BE0-BC3D87B0286C}" name="Density_g [kg/m3]" dataDxfId="40">
      <calculatedColumnFormula>1/G199</calculatedColumnFormula>
    </tableColumn>
    <tableColumn id="7" xr3:uid="{859A01E1-A885-4962-A105-1C04F697738F}" name="VolS_g [kg/m3]" dataDxfId="39"/>
    <tableColumn id="8" xr3:uid="{406DC058-85C3-4AD0-8C03-DE7D9BE991D6}" name="Enthalpy_f [kJ/kg]" dataDxfId="38"/>
    <tableColumn id="9" xr3:uid="{1B536A91-8F41-46CD-B123-99E52B3F07C4}" name="Enthalpy_g [kJ/kg]" dataDxfId="37"/>
    <tableColumn id="10" xr3:uid="{262E1FF1-7E20-4A9F-B192-03DB5935A4D7}" name="Entropy_f [kJ/kg.K]" dataDxfId="36"/>
    <tableColumn id="11" xr3:uid="{7C4CC826-D41A-44B9-BE00-82DBB0E0BE7B}" name="Entropy_g [kJ/kg.K]" dataDxfId="35"/>
    <tableColumn id="12" xr3:uid="{0066D434-9727-4B58-8751-03D3B002B39B}" name="Cp_f [kJ/kg/K]" dataDxfId="34"/>
    <tableColumn id="13" xr3:uid="{EB973FD9-B5D4-476F-8812-B7ADAD52E842}" name="Cp_g [kJ/kg/K]" dataDxfId="33"/>
    <tableColumn id="14" xr3:uid="{168E4DAA-239F-4242-861E-40F023F56605}" name="Cp/Cv" dataDxfId="32"/>
    <tableColumn id="15" xr3:uid="{5153AEA5-988D-4889-9045-3FAD716F0CF5}" name="Vs_f [m/s]" dataDxfId="31"/>
    <tableColumn id="16" xr3:uid="{25D706D6-50A1-46BE-BA7F-96CF60E7127B}" name="Vs_g [m/s]" dataDxfId="30"/>
    <tableColumn id="17" xr3:uid="{3A0FDE5B-8E21-444F-A375-6F3CA4FE11F7}" name="Viscosity_f [uPa.s]" dataDxfId="29"/>
    <tableColumn id="18" xr3:uid="{4505EF82-ADE5-409B-A02E-2CE34317DB38}" name="Viscosity_g [uPa.s]" dataDxfId="28"/>
    <tableColumn id="19" xr3:uid="{76D86F0E-B01D-4165-B72D-1D78EEA4C4A1}" name="Thermal Cond_f [mW/m.K]" dataDxfId="27"/>
    <tableColumn id="20" xr3:uid="{E27E227D-FDB6-4E52-8756-BBB970819D04}" name="Thermal Cond_g [mW/m.K]" dataDxfId="26"/>
    <tableColumn id="21" xr3:uid="{53AFEF62-5B00-4E8E-B92C-C3BE09B2993D}" name="Surface Tension [mN/m]" dataDxfId="25"/>
    <tableColumn id="22" xr3:uid="{23FD39EB-E076-4600-B03A-E10B5B300C9F}" name="Pressure [psi]2" dataDxfId="24"/>
  </tableColumns>
  <tableStyleInfo name="TableStyleMedium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B8413B-4EBE-4A4E-975F-AD5791C2AA86}" name="Productos" displayName="Productos" ref="Y16:AD61" totalsRowShown="0" headerRowDxfId="23" dataDxfId="21" headerRowBorderDxfId="22" tableBorderDxfId="20" totalsRowBorderDxfId="19">
  <autoFilter ref="Y16:AD61" xr:uid="{C9B8413B-4EBE-4A4E-975F-AD5791C2AA86}"/>
  <tableColumns count="6">
    <tableColumn id="1" xr3:uid="{5A637BDD-5D22-458F-98B8-07A7335E1DE9}" name="TIPO" dataDxfId="18"/>
    <tableColumn id="2" xr3:uid="{00FB3AF4-307D-4644-8698-3DE64E4D57F3}" name="PRODUCTO" dataDxfId="17"/>
    <tableColumn id="3" xr3:uid="{68000777-4640-4E8F-B990-72264F3F768F}" name="TEMPERATURA" dataDxfId="16"/>
    <tableColumn id="4" xr3:uid="{22A67BB8-746E-465E-A2AA-14B66FDC605A}" name="CARGA PUERTAS" dataDxfId="15"/>
    <tableColumn id="5" xr3:uid="{DA4E99E0-268F-4204-A47C-A38D9F380C6A}" name="CARGA ABIERTA" dataDxfId="14"/>
    <tableColumn id="6" xr3:uid="{A32B0E3D-BD3D-4C27-9E57-EDB436B931D7}" name="% Ahorro" dataDxfId="13">
      <calculatedColumnFormula>(AC17-AB17)/AC17</calculatedColumnFormula>
    </tableColumn>
  </tableColumns>
  <tableStyleInfo name="TableStyleMedium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EA0365-2AF3-40FC-BEAE-20AD88E75C45}" name="Tabla14" displayName="Tabla14" ref="B5:K62" totalsRowShown="0" headerRowDxfId="12" dataDxfId="11" tableBorderDxfId="10">
  <autoFilter ref="B5:K62" xr:uid="{42EA0365-2AF3-40FC-BEAE-20AD88E75C45}"/>
  <tableColumns count="10">
    <tableColumn id="1" xr3:uid="{3F1EBE86-083B-44DC-8A43-AB2CF623D546}" name="TIPO NEVERA" dataDxfId="9"/>
    <tableColumn id="2" xr3:uid="{35A6E1F1-DF18-4179-AC89-0C539BF75CB3}" name="PRODUCTO" dataDxfId="8"/>
    <tableColumn id="3" xr3:uid="{0B74BC04-489F-462D-A301-743E0308118C}" name="ARNEG" dataDxfId="7"/>
    <tableColumn id="4" xr3:uid="{F685CB78-C9A8-49DC-954D-19A63CD332DE}" name="ARNEG_P" dataDxfId="6"/>
    <tableColumn id="7" xr3:uid="{A4DB1867-F14D-4163-99C8-BE3A91E258B8}" name="WESTON " dataDxfId="5"/>
    <tableColumn id="8" xr3:uid="{9DA70535-BABD-41B2-96EF-709BDDF4D639}" name="WESTON _P" dataDxfId="4"/>
    <tableColumn id="9" xr3:uid="{BB1ED326-7044-486D-86EF-AA9DAABCC053}" name="PRIME" dataDxfId="3"/>
    <tableColumn id="10" xr3:uid="{93B0A2E6-AC2B-4386-AB03-0F3F61EC5D84}" name="PRIME_P" dataDxfId="2"/>
    <tableColumn id="11" xr3:uid="{185755D8-086A-4539-9207-7F1CB30C4FFA}" name="FINAL" dataDxfId="1"/>
    <tableColumn id="12" xr3:uid="{345E6957-6BE4-4E37-931D-83117C4A3509}" name="FINAL_P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28542-AD3C-464C-BB9E-F364483BCB77}">
  <sheetPr codeName="Hoja1">
    <pageSetUpPr fitToPage="1"/>
  </sheetPr>
  <dimension ref="A1:M324"/>
  <sheetViews>
    <sheetView tabSelected="1" zoomScale="55" zoomScaleNormal="55" workbookViewId="0">
      <selection activeCell="D20" sqref="D20"/>
    </sheetView>
  </sheetViews>
  <sheetFormatPr defaultColWidth="11.5546875" defaultRowHeight="15.6"/>
  <cols>
    <col min="1" max="1" width="6.77734375" style="77" customWidth="1"/>
    <col min="2" max="2" width="33.77734375" style="77" customWidth="1"/>
    <col min="3" max="3" width="21.5546875" style="77" customWidth="1"/>
    <col min="4" max="4" width="25.109375" style="77" customWidth="1"/>
    <col min="5" max="5" width="19" style="77" customWidth="1"/>
    <col min="6" max="6" width="20.33203125" style="77" customWidth="1"/>
    <col min="7" max="7" width="16.44140625" style="77" customWidth="1"/>
    <col min="8" max="8" width="33.5546875" style="77" customWidth="1"/>
    <col min="9" max="9" width="15.21875" style="77" customWidth="1"/>
    <col min="10" max="10" width="18.88671875" style="77" customWidth="1"/>
    <col min="11" max="11" width="20.21875" style="77" customWidth="1"/>
    <col min="12" max="12" width="19.6640625" style="62" customWidth="1"/>
    <col min="13" max="13" width="21.33203125" style="62" customWidth="1"/>
    <col min="14" max="16384" width="11.5546875" style="62"/>
  </cols>
  <sheetData>
    <row r="1" spans="1:13" ht="60" customHeight="1" thickBot="1">
      <c r="A1" s="234" t="s">
        <v>620</v>
      </c>
      <c r="B1" s="235"/>
      <c r="C1" s="236" t="s">
        <v>0</v>
      </c>
      <c r="D1" s="207"/>
      <c r="E1" s="234" t="s">
        <v>1</v>
      </c>
      <c r="F1" s="313"/>
      <c r="G1" s="314"/>
      <c r="H1" s="118"/>
      <c r="I1" s="200" t="s">
        <v>274</v>
      </c>
      <c r="J1" s="201"/>
      <c r="K1" s="278">
        <v>31.2</v>
      </c>
      <c r="L1" s="237"/>
      <c r="M1" s="249"/>
    </row>
    <row r="2" spans="1:13" ht="57" customHeight="1" thickBot="1">
      <c r="A2" s="234" t="s">
        <v>2</v>
      </c>
      <c r="B2" s="235"/>
      <c r="C2" s="237"/>
      <c r="D2" s="238"/>
      <c r="E2" s="200" t="s">
        <v>472</v>
      </c>
      <c r="F2" s="201"/>
      <c r="G2" s="315"/>
      <c r="H2" s="119">
        <v>27.8</v>
      </c>
      <c r="I2" s="200" t="s">
        <v>473</v>
      </c>
      <c r="J2" s="201"/>
      <c r="K2" s="279">
        <v>25.2</v>
      </c>
      <c r="L2" s="280"/>
      <c r="M2" s="250"/>
    </row>
    <row r="3" spans="1:13">
      <c r="A3" s="259"/>
      <c r="B3" s="259"/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</row>
    <row r="4" spans="1:13" ht="16.2" thickBot="1">
      <c r="A4" s="257"/>
      <c r="B4" s="257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</row>
    <row r="5" spans="1:13" ht="43.5" customHeight="1" thickBot="1">
      <c r="A5" s="251" t="s">
        <v>3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  <c r="L5" s="238"/>
      <c r="M5" s="252"/>
    </row>
    <row r="6" spans="1:13" ht="27.75" customHeight="1" thickBot="1">
      <c r="A6" s="202" t="s">
        <v>4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203"/>
      <c r="M6" s="203"/>
    </row>
    <row r="7" spans="1:13" ht="16.2" thickBot="1">
      <c r="A7" s="283" t="s">
        <v>5</v>
      </c>
      <c r="B7" s="317"/>
      <c r="C7" s="63" t="s">
        <v>273</v>
      </c>
      <c r="D7" s="283" t="s">
        <v>7</v>
      </c>
      <c r="E7" s="318"/>
      <c r="F7" s="149"/>
      <c r="G7" s="306">
        <v>2</v>
      </c>
      <c r="H7" s="307"/>
      <c r="I7" s="283" t="s">
        <v>6</v>
      </c>
      <c r="J7" s="284"/>
      <c r="K7" s="253">
        <v>3</v>
      </c>
      <c r="L7" s="254"/>
      <c r="M7" s="255"/>
    </row>
    <row r="8" spans="1:13" ht="18.75" customHeight="1" thickBot="1">
      <c r="A8" s="25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</row>
    <row r="9" spans="1:13">
      <c r="A9" s="258" t="s">
        <v>8</v>
      </c>
      <c r="B9" s="259"/>
      <c r="C9" s="259"/>
      <c r="D9" s="259"/>
      <c r="E9" s="259"/>
      <c r="F9" s="260"/>
      <c r="G9" s="281"/>
      <c r="H9" s="261" t="s">
        <v>9</v>
      </c>
      <c r="I9" s="262"/>
      <c r="J9" s="262"/>
      <c r="K9" s="262"/>
      <c r="L9" s="262"/>
      <c r="M9" s="263"/>
    </row>
    <row r="10" spans="1:13">
      <c r="A10" s="293"/>
      <c r="B10" s="294"/>
      <c r="C10" s="47" t="s">
        <v>10</v>
      </c>
      <c r="D10" s="305" t="s">
        <v>11</v>
      </c>
      <c r="E10" s="305"/>
      <c r="F10" s="156" t="s">
        <v>621</v>
      </c>
      <c r="G10" s="281"/>
      <c r="H10" s="308"/>
      <c r="I10" s="309"/>
      <c r="J10" s="47" t="s">
        <v>10</v>
      </c>
      <c r="K10" s="305" t="s">
        <v>11</v>
      </c>
      <c r="L10" s="305"/>
      <c r="M10" s="162" t="s">
        <v>621</v>
      </c>
    </row>
    <row r="11" spans="1:13" ht="21.6" customHeight="1">
      <c r="A11" s="310" t="s">
        <v>12</v>
      </c>
      <c r="B11" s="305"/>
      <c r="C11" s="120">
        <v>18</v>
      </c>
      <c r="D11" s="239">
        <v>-28.602974552258512</v>
      </c>
      <c r="E11" s="239"/>
      <c r="F11" s="165">
        <v>25</v>
      </c>
      <c r="G11" s="281"/>
      <c r="H11" s="289" t="s">
        <v>12</v>
      </c>
      <c r="I11" s="231"/>
      <c r="J11" s="120">
        <v>38</v>
      </c>
      <c r="K11" s="239">
        <v>-16.061473350892449</v>
      </c>
      <c r="L11" s="239"/>
      <c r="M11" s="163">
        <v>30</v>
      </c>
    </row>
    <row r="12" spans="1:13" ht="30" customHeight="1" thickBot="1">
      <c r="A12" s="242" t="s">
        <v>13</v>
      </c>
      <c r="B12" s="243"/>
      <c r="C12" s="121">
        <v>13</v>
      </c>
      <c r="D12" s="240">
        <v>-32.644608336864415</v>
      </c>
      <c r="E12" s="241"/>
      <c r="F12" s="166">
        <v>25</v>
      </c>
      <c r="G12" s="281"/>
      <c r="H12" s="244" t="s">
        <v>13</v>
      </c>
      <c r="I12" s="245"/>
      <c r="J12" s="121">
        <v>40</v>
      </c>
      <c r="K12" s="240">
        <v>-15.03446886212997</v>
      </c>
      <c r="L12" s="241"/>
      <c r="M12" s="164">
        <v>30</v>
      </c>
    </row>
    <row r="13" spans="1:13" ht="22.5" customHeight="1" thickBot="1">
      <c r="A13" s="295"/>
      <c r="B13" s="296"/>
      <c r="C13" s="296"/>
      <c r="D13" s="296"/>
      <c r="E13" s="296"/>
      <c r="F13" s="296"/>
      <c r="G13" s="296"/>
      <c r="H13" s="296"/>
      <c r="I13" s="296"/>
      <c r="J13" s="296"/>
      <c r="K13" s="316"/>
      <c r="L13" s="297"/>
    </row>
    <row r="14" spans="1:13">
      <c r="A14" s="264" t="s">
        <v>14</v>
      </c>
      <c r="B14" s="265"/>
      <c r="C14" s="265"/>
      <c r="D14" s="265"/>
      <c r="E14" s="265"/>
      <c r="F14" s="266"/>
      <c r="G14" s="282"/>
      <c r="H14" s="264" t="s">
        <v>15</v>
      </c>
      <c r="I14" s="265"/>
      <c r="J14" s="265"/>
      <c r="K14" s="265"/>
      <c r="L14" s="265"/>
      <c r="M14" s="266"/>
    </row>
    <row r="15" spans="1:13" ht="31.2">
      <c r="A15" s="65" t="s">
        <v>16</v>
      </c>
      <c r="B15" s="48" t="s">
        <v>17</v>
      </c>
      <c r="C15" s="67" t="s">
        <v>18</v>
      </c>
      <c r="D15" s="48" t="s">
        <v>19</v>
      </c>
      <c r="E15" s="48" t="s">
        <v>20</v>
      </c>
      <c r="F15" s="68" t="s">
        <v>622</v>
      </c>
      <c r="G15" s="282"/>
      <c r="H15" s="65" t="s">
        <v>16</v>
      </c>
      <c r="I15" s="48" t="s">
        <v>17</v>
      </c>
      <c r="J15" s="67" t="s">
        <v>18</v>
      </c>
      <c r="K15" s="146" t="s">
        <v>19</v>
      </c>
      <c r="L15" s="48" t="s">
        <v>20</v>
      </c>
      <c r="M15" s="68" t="s">
        <v>622</v>
      </c>
    </row>
    <row r="16" spans="1:13">
      <c r="A16" s="157">
        <v>1</v>
      </c>
      <c r="B16" s="69" t="s">
        <v>21</v>
      </c>
      <c r="C16" s="70">
        <v>10</v>
      </c>
      <c r="D16" s="148">
        <v>1.5388691924886024</v>
      </c>
      <c r="E16" s="69">
        <v>60</v>
      </c>
      <c r="F16" s="169">
        <v>90</v>
      </c>
      <c r="G16" s="282"/>
      <c r="H16" s="157">
        <v>1</v>
      </c>
      <c r="I16" s="69" t="s">
        <v>22</v>
      </c>
      <c r="J16" s="70">
        <v>12</v>
      </c>
      <c r="K16" s="148">
        <v>2.2650185737862474</v>
      </c>
      <c r="L16" s="69">
        <v>50</v>
      </c>
      <c r="M16" s="167">
        <v>90</v>
      </c>
    </row>
    <row r="17" spans="1:13">
      <c r="A17" s="157">
        <v>2</v>
      </c>
      <c r="B17" s="69" t="s">
        <v>23</v>
      </c>
      <c r="C17" s="70">
        <v>10</v>
      </c>
      <c r="D17" s="148">
        <v>1.5388691924886024</v>
      </c>
      <c r="E17" s="69">
        <v>40</v>
      </c>
      <c r="F17" s="169">
        <v>90</v>
      </c>
      <c r="G17" s="282"/>
      <c r="H17" s="157">
        <v>2</v>
      </c>
      <c r="I17" s="69" t="s">
        <v>24</v>
      </c>
      <c r="J17" s="70">
        <v>12</v>
      </c>
      <c r="K17" s="148">
        <v>2.8072181474307278</v>
      </c>
      <c r="L17" s="69">
        <v>35</v>
      </c>
      <c r="M17" s="167">
        <v>80</v>
      </c>
    </row>
    <row r="18" spans="1:13">
      <c r="A18" s="157"/>
      <c r="B18" s="69"/>
      <c r="C18" s="70"/>
      <c r="D18" s="148"/>
      <c r="E18" s="69"/>
      <c r="F18" s="170"/>
      <c r="G18" s="282"/>
      <c r="H18" s="157">
        <v>3</v>
      </c>
      <c r="I18" s="69" t="s">
        <v>25</v>
      </c>
      <c r="J18" s="70">
        <v>12</v>
      </c>
      <c r="K18" s="148">
        <v>2.2650185737862474</v>
      </c>
      <c r="L18" s="69">
        <v>10</v>
      </c>
      <c r="M18" s="167">
        <v>90</v>
      </c>
    </row>
    <row r="19" spans="1:13">
      <c r="A19" s="157"/>
      <c r="B19" s="69"/>
      <c r="C19" s="70"/>
      <c r="D19" s="148"/>
      <c r="E19" s="69"/>
      <c r="F19" s="170"/>
      <c r="G19" s="282"/>
      <c r="H19" s="157"/>
      <c r="I19" s="69"/>
      <c r="J19" s="70"/>
      <c r="K19" s="148"/>
      <c r="L19" s="69"/>
      <c r="M19" s="167"/>
    </row>
    <row r="20" spans="1:13">
      <c r="A20" s="157"/>
      <c r="B20" s="69"/>
      <c r="C20" s="70"/>
      <c r="D20" s="148"/>
      <c r="E20" s="69"/>
      <c r="F20" s="170"/>
      <c r="G20" s="282"/>
      <c r="H20" s="80"/>
      <c r="I20" s="69"/>
      <c r="J20" s="70"/>
      <c r="K20" s="148"/>
      <c r="L20" s="69"/>
      <c r="M20" s="167"/>
    </row>
    <row r="21" spans="1:13">
      <c r="A21" s="157"/>
      <c r="B21" s="69"/>
      <c r="C21" s="70"/>
      <c r="D21" s="148"/>
      <c r="E21" s="69"/>
      <c r="F21" s="170"/>
      <c r="G21" s="282"/>
      <c r="H21" s="157"/>
      <c r="I21" s="69"/>
      <c r="J21" s="70"/>
      <c r="K21" s="148"/>
      <c r="L21" s="69"/>
      <c r="M21" s="167"/>
    </row>
    <row r="22" spans="1:13">
      <c r="A22" s="157"/>
      <c r="B22" s="69"/>
      <c r="C22" s="70"/>
      <c r="D22" s="148"/>
      <c r="E22" s="69"/>
      <c r="F22" s="170"/>
      <c r="G22" s="282"/>
      <c r="H22" s="157"/>
      <c r="I22" s="69"/>
      <c r="J22" s="70"/>
      <c r="K22" s="148"/>
      <c r="L22" s="69"/>
      <c r="M22" s="167"/>
    </row>
    <row r="23" spans="1:13">
      <c r="A23" s="157"/>
      <c r="B23" s="69"/>
      <c r="C23" s="70"/>
      <c r="D23" s="148"/>
      <c r="E23" s="69"/>
      <c r="F23" s="170"/>
      <c r="G23" s="282"/>
      <c r="H23" s="157"/>
      <c r="I23" s="69"/>
      <c r="J23" s="70"/>
      <c r="K23" s="148"/>
      <c r="L23" s="69"/>
      <c r="M23" s="167"/>
    </row>
    <row r="24" spans="1:13" ht="16.2" thickBot="1">
      <c r="A24" s="158"/>
      <c r="B24" s="159"/>
      <c r="C24" s="160"/>
      <c r="D24" s="154"/>
      <c r="E24" s="159"/>
      <c r="F24" s="171"/>
      <c r="G24" s="282"/>
      <c r="H24" s="158"/>
      <c r="I24" s="159"/>
      <c r="J24" s="160"/>
      <c r="K24" s="154"/>
      <c r="L24" s="159"/>
      <c r="M24" s="168"/>
    </row>
    <row r="25" spans="1:13" ht="28.5" customHeight="1" thickBot="1">
      <c r="A25" s="246"/>
      <c r="B25" s="247"/>
      <c r="C25" s="247"/>
      <c r="D25" s="247"/>
      <c r="E25" s="247"/>
      <c r="F25" s="247"/>
      <c r="G25" s="247"/>
      <c r="H25" s="247"/>
      <c r="I25" s="247"/>
      <c r="J25" s="247"/>
      <c r="K25" s="248"/>
      <c r="L25" s="247"/>
      <c r="M25" s="161"/>
    </row>
    <row r="26" spans="1:13" ht="26.25" customHeight="1">
      <c r="A26" s="202" t="s">
        <v>26</v>
      </c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</row>
    <row r="27" spans="1:13" ht="18" customHeight="1" thickBot="1">
      <c r="A27" s="319"/>
      <c r="B27" s="320"/>
      <c r="C27" s="320"/>
      <c r="D27" s="320"/>
      <c r="E27" s="320"/>
      <c r="F27" s="320"/>
      <c r="G27" s="320"/>
      <c r="H27" s="320"/>
      <c r="I27" s="320"/>
      <c r="J27" s="320"/>
      <c r="K27" s="320"/>
      <c r="L27" s="320"/>
      <c r="M27" s="320"/>
    </row>
    <row r="28" spans="1:13" ht="26.25" customHeight="1">
      <c r="A28" s="286" t="s">
        <v>634</v>
      </c>
      <c r="B28" s="287"/>
      <c r="C28" s="287"/>
      <c r="D28" s="287"/>
      <c r="E28" s="287"/>
      <c r="F28" s="288"/>
      <c r="G28" s="172"/>
      <c r="H28" s="286" t="s">
        <v>635</v>
      </c>
      <c r="I28" s="287"/>
      <c r="J28" s="287"/>
      <c r="K28" s="287"/>
      <c r="L28" s="287"/>
      <c r="M28" s="288"/>
    </row>
    <row r="29" spans="1:13" s="72" customFormat="1" ht="20.25" customHeight="1">
      <c r="A29" s="293"/>
      <c r="B29" s="294"/>
      <c r="C29" s="48" t="s">
        <v>10</v>
      </c>
      <c r="D29" s="231" t="s">
        <v>11</v>
      </c>
      <c r="E29" s="231"/>
      <c r="F29" s="68" t="s">
        <v>131</v>
      </c>
      <c r="G29" s="281"/>
      <c r="H29" s="293"/>
      <c r="I29" s="294"/>
      <c r="J29" s="48" t="s">
        <v>10</v>
      </c>
      <c r="K29" s="230" t="s">
        <v>11</v>
      </c>
      <c r="L29" s="231"/>
      <c r="M29" s="48" t="s">
        <v>131</v>
      </c>
    </row>
    <row r="30" spans="1:13" ht="34.5" customHeight="1">
      <c r="A30" s="289" t="s">
        <v>12</v>
      </c>
      <c r="B30" s="231"/>
      <c r="C30" s="120">
        <v>250</v>
      </c>
      <c r="D30" s="232">
        <v>39.005269416137374</v>
      </c>
      <c r="E30" s="290"/>
      <c r="F30" s="173">
        <v>2</v>
      </c>
      <c r="G30" s="281"/>
      <c r="H30" s="291" t="s">
        <v>12</v>
      </c>
      <c r="I30" s="292"/>
      <c r="J30" s="120">
        <v>230</v>
      </c>
      <c r="K30" s="232">
        <v>35.786973625207111</v>
      </c>
      <c r="L30" s="233"/>
      <c r="M30" s="174">
        <v>2</v>
      </c>
    </row>
    <row r="31" spans="1:13" ht="34.5" customHeight="1" thickBot="1">
      <c r="A31" s="242" t="s">
        <v>27</v>
      </c>
      <c r="B31" s="243"/>
      <c r="C31" s="121">
        <v>240</v>
      </c>
      <c r="D31" s="229">
        <v>37.418955701434889</v>
      </c>
      <c r="E31" s="229"/>
      <c r="F31" s="155">
        <v>2</v>
      </c>
      <c r="G31" s="281"/>
      <c r="H31" s="244" t="s">
        <v>27</v>
      </c>
      <c r="I31" s="245"/>
      <c r="J31" s="121">
        <v>235</v>
      </c>
      <c r="K31" s="229">
        <v>36.606853837419102</v>
      </c>
      <c r="L31" s="229"/>
      <c r="M31" s="175">
        <v>2</v>
      </c>
    </row>
    <row r="32" spans="1:13" ht="16.2" thickBot="1">
      <c r="A32" s="295"/>
      <c r="B32" s="296"/>
      <c r="C32" s="296"/>
      <c r="D32" s="296"/>
      <c r="E32" s="296"/>
      <c r="F32" s="296"/>
      <c r="G32" s="296"/>
      <c r="H32" s="296"/>
      <c r="I32" s="296"/>
      <c r="J32" s="296"/>
      <c r="K32" s="296"/>
      <c r="L32" s="297"/>
      <c r="M32" s="161"/>
    </row>
    <row r="33" spans="1:13" ht="28.95" customHeight="1">
      <c r="A33" s="176" t="s">
        <v>16</v>
      </c>
      <c r="B33" s="71" t="s">
        <v>28</v>
      </c>
      <c r="C33" s="71" t="s">
        <v>17</v>
      </c>
      <c r="D33" s="71" t="s">
        <v>623</v>
      </c>
      <c r="E33" s="71" t="s">
        <v>29</v>
      </c>
      <c r="F33" s="177" t="s">
        <v>624</v>
      </c>
      <c r="G33" s="285"/>
      <c r="H33" s="176" t="s">
        <v>16</v>
      </c>
      <c r="I33" s="71" t="s">
        <v>28</v>
      </c>
      <c r="J33" s="71" t="s">
        <v>17</v>
      </c>
      <c r="K33" s="71" t="s">
        <v>623</v>
      </c>
      <c r="L33" s="71" t="s">
        <v>29</v>
      </c>
      <c r="M33" s="177" t="s">
        <v>624</v>
      </c>
    </row>
    <row r="34" spans="1:13">
      <c r="A34" s="178">
        <v>1</v>
      </c>
      <c r="B34" s="83"/>
      <c r="C34" s="83"/>
      <c r="D34" s="83"/>
      <c r="E34" s="83"/>
      <c r="F34" s="84"/>
      <c r="G34" s="285"/>
      <c r="H34" s="178">
        <v>5</v>
      </c>
      <c r="I34" s="83"/>
      <c r="J34" s="83"/>
      <c r="K34" s="83"/>
      <c r="L34" s="83"/>
      <c r="M34" s="84"/>
    </row>
    <row r="35" spans="1:13">
      <c r="A35" s="178"/>
      <c r="B35" s="83"/>
      <c r="C35" s="83"/>
      <c r="D35" s="83"/>
      <c r="E35" s="83"/>
      <c r="F35" s="84"/>
      <c r="G35" s="285"/>
      <c r="H35" s="178"/>
      <c r="I35" s="83"/>
      <c r="J35" s="83"/>
      <c r="K35" s="83"/>
      <c r="L35" s="83"/>
      <c r="M35" s="84"/>
    </row>
    <row r="36" spans="1:13">
      <c r="A36" s="80"/>
      <c r="B36" s="64"/>
      <c r="C36" s="64"/>
      <c r="D36" s="64"/>
      <c r="E36" s="64"/>
      <c r="F36" s="174"/>
      <c r="G36" s="285"/>
      <c r="H36" s="80"/>
      <c r="I36" s="64"/>
      <c r="J36" s="83"/>
      <c r="K36" s="83"/>
      <c r="L36" s="83"/>
      <c r="M36" s="84"/>
    </row>
    <row r="37" spans="1:13" ht="16.2" thickBot="1">
      <c r="A37" s="179"/>
      <c r="B37" s="92"/>
      <c r="C37" s="92"/>
      <c r="D37" s="92"/>
      <c r="E37" s="92"/>
      <c r="F37" s="93"/>
      <c r="G37" s="285"/>
      <c r="H37" s="179"/>
      <c r="I37" s="92"/>
      <c r="J37" s="92"/>
      <c r="K37" s="92"/>
      <c r="L37" s="92"/>
      <c r="M37" s="93"/>
    </row>
    <row r="38" spans="1:13" ht="25.05" customHeight="1">
      <c r="A38" s="321"/>
      <c r="B38" s="281"/>
      <c r="C38" s="281"/>
      <c r="D38" s="281"/>
      <c r="E38" s="281"/>
      <c r="F38" s="281"/>
      <c r="G38" s="281"/>
      <c r="H38" s="281"/>
      <c r="I38" s="281"/>
      <c r="J38" s="281"/>
      <c r="K38" s="281"/>
      <c r="L38" s="281"/>
      <c r="M38" s="281"/>
    </row>
    <row r="39" spans="1:13">
      <c r="A39" s="321"/>
      <c r="B39" s="281"/>
      <c r="C39" s="281"/>
      <c r="D39" s="281"/>
      <c r="E39" s="281"/>
      <c r="F39" s="281"/>
      <c r="G39" s="281"/>
      <c r="H39" s="281"/>
      <c r="I39" s="281"/>
      <c r="J39" s="281"/>
      <c r="K39" s="281"/>
      <c r="L39" s="281"/>
      <c r="M39" s="281"/>
    </row>
    <row r="40" spans="1:13" ht="30" customHeight="1">
      <c r="A40" s="321"/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</row>
    <row r="41" spans="1:13" ht="30.75" customHeight="1">
      <c r="A41" s="202" t="s">
        <v>30</v>
      </c>
      <c r="B41" s="203"/>
      <c r="C41" s="203"/>
      <c r="D41" s="203"/>
      <c r="E41" s="203"/>
      <c r="F41" s="203"/>
      <c r="G41" s="203"/>
      <c r="H41" s="203"/>
      <c r="I41" s="203"/>
      <c r="J41" s="203"/>
      <c r="K41" s="203"/>
      <c r="L41" s="203"/>
      <c r="M41" s="203"/>
    </row>
    <row r="42" spans="1:13" ht="13.95" customHeight="1">
      <c r="A42" s="319"/>
      <c r="B42" s="320"/>
      <c r="C42" s="320"/>
      <c r="D42" s="320"/>
      <c r="E42" s="320"/>
      <c r="F42" s="320"/>
      <c r="G42" s="320"/>
      <c r="H42" s="320"/>
      <c r="I42" s="320"/>
      <c r="J42" s="320"/>
      <c r="K42" s="320"/>
      <c r="L42" s="320"/>
      <c r="M42" s="320"/>
    </row>
    <row r="43" spans="1:13" ht="21.45" customHeight="1">
      <c r="A43" s="305" t="s">
        <v>31</v>
      </c>
      <c r="B43" s="305"/>
      <c r="C43" s="305"/>
      <c r="D43" s="233">
        <v>5</v>
      </c>
      <c r="E43" s="233"/>
      <c r="F43" s="233"/>
      <c r="G43" s="231" t="s">
        <v>650</v>
      </c>
      <c r="H43" s="231"/>
      <c r="I43" s="231"/>
      <c r="J43" s="231"/>
      <c r="K43" s="322"/>
      <c r="L43" s="322"/>
      <c r="M43" s="322"/>
    </row>
    <row r="44" spans="1:13" ht="13.05" customHeight="1" thickBot="1">
      <c r="A44" s="216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</row>
    <row r="45" spans="1:13" s="182" customFormat="1" ht="32.549999999999997" customHeight="1" thickBot="1">
      <c r="A45" s="218" t="s">
        <v>640</v>
      </c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20"/>
    </row>
    <row r="46" spans="1:13" ht="8.5500000000000007" customHeight="1" thickBot="1">
      <c r="A46" s="216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98"/>
    </row>
    <row r="47" spans="1:13" ht="15" customHeight="1">
      <c r="A47" s="299" t="s">
        <v>651</v>
      </c>
      <c r="B47" s="300"/>
      <c r="C47" s="300"/>
      <c r="D47" s="301"/>
      <c r="E47" s="302" t="s">
        <v>652</v>
      </c>
      <c r="F47" s="300"/>
      <c r="G47" s="300"/>
      <c r="H47" s="301"/>
      <c r="I47" s="302" t="s">
        <v>638</v>
      </c>
      <c r="J47" s="300"/>
      <c r="K47" s="300"/>
      <c r="L47" s="300"/>
      <c r="M47" s="301"/>
    </row>
    <row r="48" spans="1:13" ht="15" customHeight="1">
      <c r="A48" s="276" t="s">
        <v>665</v>
      </c>
      <c r="B48" s="277"/>
      <c r="C48" s="214">
        <v>8</v>
      </c>
      <c r="D48" s="215"/>
      <c r="E48" s="211" t="s">
        <v>666</v>
      </c>
      <c r="F48" s="213"/>
      <c r="G48" s="214">
        <v>9</v>
      </c>
      <c r="H48" s="215"/>
      <c r="I48" s="211" t="s">
        <v>667</v>
      </c>
      <c r="J48" s="212"/>
      <c r="K48" s="213"/>
      <c r="L48" s="214">
        <v>7</v>
      </c>
      <c r="M48" s="215"/>
    </row>
    <row r="49" spans="1:13" ht="27.75" customHeight="1" thickBot="1">
      <c r="A49" s="216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</row>
    <row r="50" spans="1:13" ht="46.8">
      <c r="A50" s="183" t="s">
        <v>16</v>
      </c>
      <c r="B50" s="184" t="s">
        <v>36</v>
      </c>
      <c r="C50" s="184" t="s">
        <v>37</v>
      </c>
      <c r="D50" s="184" t="s">
        <v>38</v>
      </c>
      <c r="E50" s="184" t="s">
        <v>39</v>
      </c>
      <c r="F50" s="184" t="s">
        <v>669</v>
      </c>
      <c r="G50" s="184" t="s">
        <v>41</v>
      </c>
      <c r="H50" s="184" t="s">
        <v>639</v>
      </c>
      <c r="I50" s="184" t="s">
        <v>668</v>
      </c>
      <c r="J50" s="184" t="s">
        <v>653</v>
      </c>
      <c r="K50" s="184" t="s">
        <v>654</v>
      </c>
      <c r="L50" s="184" t="s">
        <v>636</v>
      </c>
      <c r="M50" s="177" t="s">
        <v>637</v>
      </c>
    </row>
    <row r="51" spans="1:13">
      <c r="A51" s="80">
        <v>1</v>
      </c>
      <c r="B51" s="64" t="s">
        <v>481</v>
      </c>
      <c r="C51" s="64" t="s">
        <v>491</v>
      </c>
      <c r="D51" s="64">
        <v>2.5</v>
      </c>
      <c r="E51" s="64" t="s">
        <v>48</v>
      </c>
      <c r="F51" s="64" t="s">
        <v>47</v>
      </c>
      <c r="G51" s="64" t="s">
        <v>47</v>
      </c>
      <c r="H51" s="64" t="s">
        <v>47</v>
      </c>
      <c r="I51" s="64" t="s">
        <v>47</v>
      </c>
      <c r="J51" s="64">
        <v>-15</v>
      </c>
      <c r="K51" s="64">
        <v>-14</v>
      </c>
      <c r="L51" s="81" cm="1">
        <f t="array" ref="L51">PotMIM(B51,C51,D51,E51,G51,C48)</f>
        <v>0</v>
      </c>
      <c r="M51" s="84"/>
    </row>
    <row r="52" spans="1:13">
      <c r="A52" s="80"/>
      <c r="B52" s="64"/>
      <c r="C52" s="64"/>
      <c r="D52" s="64"/>
      <c r="E52" s="64"/>
      <c r="F52" s="64" t="s">
        <v>47</v>
      </c>
      <c r="G52" s="64"/>
      <c r="H52" s="64" t="s">
        <v>48</v>
      </c>
      <c r="I52" s="64"/>
      <c r="J52" s="64"/>
      <c r="K52" s="64"/>
      <c r="L52" s="81">
        <f>IFERROR(PotMIM(D52,B52,E52,G52,K49,K44),0)</f>
        <v>0</v>
      </c>
      <c r="M52" s="84"/>
    </row>
    <row r="53" spans="1:13">
      <c r="A53" s="80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81">
        <f>IFERROR(PotMIM(D53,B53,E53,G53,#REF!,K49),0)</f>
        <v>0</v>
      </c>
      <c r="M53" s="84"/>
    </row>
    <row r="54" spans="1:13">
      <c r="A54" s="80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81">
        <f>IFERROR(PotMIM(D54,B54,E54,G54,#REF!,#REF!),0)</f>
        <v>0</v>
      </c>
      <c r="M54" s="84"/>
    </row>
    <row r="55" spans="1:13">
      <c r="A55" s="80"/>
      <c r="B55" s="64"/>
      <c r="C55" s="64"/>
      <c r="D55" s="64"/>
      <c r="E55" s="64"/>
      <c r="F55" s="64"/>
      <c r="G55" s="64"/>
      <c r="H55" s="64"/>
      <c r="I55" s="64"/>
      <c r="J55" s="64"/>
      <c r="K55" s="64"/>
      <c r="L55" s="81">
        <f>IFERROR(PotMIM(D55,B55,E55,G55,L51,#REF!),0)</f>
        <v>0</v>
      </c>
      <c r="M55" s="84"/>
    </row>
    <row r="56" spans="1:13">
      <c r="A56" s="80"/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81">
        <f t="shared" ref="L56:L77" si="0">IFERROR(PotMIM(D56,B56,E56,G56,L52,L51),0)</f>
        <v>0</v>
      </c>
      <c r="M56" s="84"/>
    </row>
    <row r="57" spans="1:13">
      <c r="A57" s="80"/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81">
        <f t="shared" si="0"/>
        <v>0</v>
      </c>
      <c r="M57" s="84"/>
    </row>
    <row r="58" spans="1:13">
      <c r="A58" s="80"/>
      <c r="B58" s="64"/>
      <c r="C58" s="64"/>
      <c r="D58" s="64"/>
      <c r="E58" s="64"/>
      <c r="F58" s="64"/>
      <c r="G58" s="64"/>
      <c r="H58" s="64"/>
      <c r="I58" s="64"/>
      <c r="J58" s="64"/>
      <c r="K58" s="64"/>
      <c r="L58" s="81">
        <f t="shared" si="0"/>
        <v>0</v>
      </c>
      <c r="M58" s="84"/>
    </row>
    <row r="59" spans="1:13">
      <c r="A59" s="80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81">
        <f t="shared" si="0"/>
        <v>0</v>
      </c>
      <c r="M59" s="84"/>
    </row>
    <row r="60" spans="1:13">
      <c r="A60" s="80"/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81">
        <f t="shared" si="0"/>
        <v>0</v>
      </c>
      <c r="M60" s="84"/>
    </row>
    <row r="61" spans="1:13" ht="15.75" customHeight="1">
      <c r="A61" s="80"/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81">
        <f t="shared" si="0"/>
        <v>0</v>
      </c>
      <c r="M61" s="84"/>
    </row>
    <row r="62" spans="1:13">
      <c r="A62" s="80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81">
        <f t="shared" si="0"/>
        <v>0</v>
      </c>
      <c r="M62" s="84"/>
    </row>
    <row r="63" spans="1:13">
      <c r="A63" s="80"/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81">
        <f t="shared" si="0"/>
        <v>0</v>
      </c>
      <c r="M63" s="84"/>
    </row>
    <row r="64" spans="1:13">
      <c r="A64" s="80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81">
        <f t="shared" si="0"/>
        <v>0</v>
      </c>
      <c r="M64" s="84"/>
    </row>
    <row r="65" spans="1:13">
      <c r="A65" s="80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81">
        <f t="shared" si="0"/>
        <v>0</v>
      </c>
      <c r="M65" s="84"/>
    </row>
    <row r="66" spans="1:13">
      <c r="A66" s="80"/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81">
        <f t="shared" si="0"/>
        <v>0</v>
      </c>
      <c r="M66" s="84"/>
    </row>
    <row r="67" spans="1:13">
      <c r="A67" s="80"/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81">
        <f t="shared" si="0"/>
        <v>0</v>
      </c>
      <c r="M67" s="84"/>
    </row>
    <row r="68" spans="1:13">
      <c r="A68" s="80"/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81">
        <f t="shared" si="0"/>
        <v>0</v>
      </c>
      <c r="M68" s="84"/>
    </row>
    <row r="69" spans="1:13">
      <c r="A69" s="80"/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81">
        <f t="shared" si="0"/>
        <v>0</v>
      </c>
      <c r="M69" s="84"/>
    </row>
    <row r="70" spans="1:13">
      <c r="A70" s="80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81">
        <f t="shared" si="0"/>
        <v>0</v>
      </c>
      <c r="M70" s="84"/>
    </row>
    <row r="71" spans="1:13">
      <c r="A71" s="80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81">
        <f t="shared" si="0"/>
        <v>0</v>
      </c>
      <c r="M71" s="84"/>
    </row>
    <row r="72" spans="1:13">
      <c r="A72" s="80"/>
      <c r="B72" s="64"/>
      <c r="C72" s="64"/>
      <c r="D72" s="64"/>
      <c r="E72" s="64"/>
      <c r="F72" s="64"/>
      <c r="G72" s="64"/>
      <c r="H72" s="64"/>
      <c r="I72" s="64"/>
      <c r="J72" s="64"/>
      <c r="K72" s="64"/>
      <c r="L72" s="81">
        <f t="shared" si="0"/>
        <v>0</v>
      </c>
      <c r="M72" s="84"/>
    </row>
    <row r="73" spans="1:13" ht="15.75" customHeight="1">
      <c r="A73" s="80"/>
      <c r="B73" s="64"/>
      <c r="C73" s="64"/>
      <c r="D73" s="64"/>
      <c r="E73" s="64"/>
      <c r="F73" s="64"/>
      <c r="G73" s="64"/>
      <c r="H73" s="64"/>
      <c r="I73" s="64"/>
      <c r="J73" s="64"/>
      <c r="K73" s="64"/>
      <c r="L73" s="81">
        <f t="shared" si="0"/>
        <v>0</v>
      </c>
      <c r="M73" s="84"/>
    </row>
    <row r="74" spans="1:13">
      <c r="A74" s="80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81">
        <f t="shared" si="0"/>
        <v>0</v>
      </c>
      <c r="M74" s="84"/>
    </row>
    <row r="75" spans="1:13">
      <c r="A75" s="80"/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81">
        <f t="shared" si="0"/>
        <v>0</v>
      </c>
      <c r="M75" s="84"/>
    </row>
    <row r="76" spans="1:13">
      <c r="A76" s="80"/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81">
        <f t="shared" si="0"/>
        <v>0</v>
      </c>
      <c r="M76" s="84"/>
    </row>
    <row r="77" spans="1:13" ht="15.75" customHeight="1">
      <c r="A77" s="80"/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81">
        <f t="shared" si="0"/>
        <v>0</v>
      </c>
      <c r="M77" s="84"/>
    </row>
    <row r="78" spans="1:13">
      <c r="A78" s="80"/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83"/>
      <c r="M78" s="84"/>
    </row>
    <row r="79" spans="1:13">
      <c r="A79" s="80"/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83"/>
      <c r="M79" s="84"/>
    </row>
    <row r="80" spans="1:13">
      <c r="A80" s="80"/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83"/>
      <c r="M80" s="84"/>
    </row>
    <row r="81" spans="1:13">
      <c r="A81" s="80"/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83"/>
      <c r="M81" s="84"/>
    </row>
    <row r="82" spans="1:13">
      <c r="A82" s="80"/>
      <c r="B82" s="64"/>
      <c r="C82" s="64"/>
      <c r="D82" s="64"/>
      <c r="E82" s="64"/>
      <c r="F82" s="64"/>
      <c r="G82" s="64"/>
      <c r="H82" s="64"/>
      <c r="I82" s="64"/>
      <c r="J82" s="64"/>
      <c r="K82" s="64"/>
      <c r="L82" s="83"/>
      <c r="M82" s="84"/>
    </row>
    <row r="83" spans="1:13">
      <c r="A83" s="80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83"/>
      <c r="M83" s="84"/>
    </row>
    <row r="84" spans="1:13">
      <c r="A84" s="80"/>
      <c r="B84" s="64"/>
      <c r="C84" s="64"/>
      <c r="D84" s="64"/>
      <c r="E84" s="64"/>
      <c r="F84" s="64"/>
      <c r="G84" s="64"/>
      <c r="H84" s="64"/>
      <c r="I84" s="64"/>
      <c r="J84" s="64"/>
      <c r="K84" s="64"/>
      <c r="L84" s="83"/>
      <c r="M84" s="84"/>
    </row>
    <row r="85" spans="1:13">
      <c r="A85" s="80"/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83"/>
      <c r="M85" s="84"/>
    </row>
    <row r="86" spans="1:13">
      <c r="A86" s="80"/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83"/>
      <c r="M86" s="84"/>
    </row>
    <row r="87" spans="1:13">
      <c r="A87" s="80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83"/>
      <c r="M87" s="84"/>
    </row>
    <row r="88" spans="1:13">
      <c r="A88" s="80"/>
      <c r="B88" s="64"/>
      <c r="C88" s="64"/>
      <c r="D88" s="64"/>
      <c r="E88" s="64"/>
      <c r="F88" s="64"/>
      <c r="G88" s="64"/>
      <c r="H88" s="64"/>
      <c r="I88" s="64"/>
      <c r="J88" s="64"/>
      <c r="K88" s="64"/>
      <c r="L88" s="83"/>
      <c r="M88" s="84"/>
    </row>
    <row r="89" spans="1:13">
      <c r="A89" s="80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83"/>
      <c r="M89" s="84"/>
    </row>
    <row r="90" spans="1:13">
      <c r="A90" s="80"/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83"/>
      <c r="M90" s="84"/>
    </row>
    <row r="91" spans="1:13">
      <c r="A91" s="80"/>
      <c r="B91" s="64"/>
      <c r="C91" s="64"/>
      <c r="D91" s="64"/>
      <c r="E91" s="64"/>
      <c r="F91" s="64"/>
      <c r="G91" s="64"/>
      <c r="H91" s="64"/>
      <c r="I91" s="64"/>
      <c r="J91" s="64"/>
      <c r="K91" s="64"/>
      <c r="L91" s="83"/>
      <c r="M91" s="84"/>
    </row>
    <row r="92" spans="1:13">
      <c r="A92" s="80"/>
      <c r="B92" s="64"/>
      <c r="C92" s="64"/>
      <c r="D92" s="64"/>
      <c r="E92" s="64"/>
      <c r="F92" s="64"/>
      <c r="G92" s="64"/>
      <c r="H92" s="64"/>
      <c r="I92" s="64"/>
      <c r="J92" s="64"/>
      <c r="K92" s="64"/>
      <c r="L92" s="83"/>
      <c r="M92" s="84"/>
    </row>
    <row r="93" spans="1:13">
      <c r="A93" s="80"/>
      <c r="B93" s="64"/>
      <c r="C93" s="64"/>
      <c r="D93" s="64"/>
      <c r="E93" s="64"/>
      <c r="F93" s="64"/>
      <c r="G93" s="64"/>
      <c r="H93" s="64"/>
      <c r="I93" s="64"/>
      <c r="J93" s="64"/>
      <c r="K93" s="64"/>
      <c r="L93" s="83"/>
      <c r="M93" s="84"/>
    </row>
    <row r="94" spans="1:13">
      <c r="A94" s="80"/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83"/>
      <c r="M94" s="84"/>
    </row>
    <row r="95" spans="1:13">
      <c r="A95" s="80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83"/>
      <c r="M95" s="84"/>
    </row>
    <row r="96" spans="1:13">
      <c r="A96" s="80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83"/>
      <c r="M96" s="84"/>
    </row>
    <row r="97" spans="1:13">
      <c r="A97" s="80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83"/>
      <c r="M97" s="84"/>
    </row>
    <row r="98" spans="1:13">
      <c r="A98" s="80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83"/>
      <c r="M98" s="84"/>
    </row>
    <row r="99" spans="1:13">
      <c r="A99" s="80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83"/>
      <c r="M99" s="84"/>
    </row>
    <row r="100" spans="1:13">
      <c r="A100" s="80"/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83"/>
      <c r="M100" s="84"/>
    </row>
    <row r="101" spans="1:13">
      <c r="A101" s="80"/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83"/>
      <c r="M101" s="84"/>
    </row>
    <row r="102" spans="1:13">
      <c r="A102" s="80"/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83"/>
      <c r="M102" s="84"/>
    </row>
    <row r="103" spans="1:13">
      <c r="A103" s="80"/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83"/>
      <c r="M103" s="84"/>
    </row>
    <row r="104" spans="1:13">
      <c r="A104" s="80"/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83"/>
      <c r="M104" s="84"/>
    </row>
    <row r="105" spans="1:13">
      <c r="A105" s="80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83"/>
      <c r="M105" s="84"/>
    </row>
    <row r="106" spans="1:13">
      <c r="A106" s="80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83"/>
      <c r="M106" s="84"/>
    </row>
    <row r="107" spans="1:13">
      <c r="A107" s="80"/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83"/>
      <c r="M107" s="84"/>
    </row>
    <row r="108" spans="1:13">
      <c r="A108" s="80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83"/>
      <c r="M108" s="84"/>
    </row>
    <row r="109" spans="1:13">
      <c r="A109" s="80"/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83"/>
      <c r="M109" s="84"/>
    </row>
    <row r="110" spans="1:13">
      <c r="A110" s="80"/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83"/>
      <c r="M110" s="84"/>
    </row>
    <row r="111" spans="1:13">
      <c r="A111" s="80"/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83"/>
      <c r="M111" s="84"/>
    </row>
    <row r="112" spans="1:13">
      <c r="A112" s="80"/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83"/>
      <c r="M112" s="84"/>
    </row>
    <row r="113" spans="1:13">
      <c r="A113" s="80"/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83"/>
      <c r="M113" s="84"/>
    </row>
    <row r="114" spans="1:13">
      <c r="A114" s="80"/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83"/>
      <c r="M114" s="84"/>
    </row>
    <row r="115" spans="1:13">
      <c r="A115" s="80"/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83"/>
      <c r="M115" s="84"/>
    </row>
    <row r="116" spans="1:13">
      <c r="A116" s="80"/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83"/>
      <c r="M116" s="84"/>
    </row>
    <row r="117" spans="1:13">
      <c r="A117" s="80"/>
      <c r="B117" s="64"/>
      <c r="C117" s="64"/>
      <c r="D117" s="64"/>
      <c r="E117" s="64"/>
      <c r="F117" s="64"/>
      <c r="G117" s="64"/>
      <c r="H117" s="64"/>
      <c r="I117" s="64"/>
      <c r="J117" s="64"/>
      <c r="K117" s="64"/>
      <c r="L117" s="83"/>
      <c r="M117" s="84"/>
    </row>
    <row r="118" spans="1:13">
      <c r="A118" s="80"/>
      <c r="B118" s="64"/>
      <c r="C118" s="64"/>
      <c r="D118" s="64"/>
      <c r="E118" s="64"/>
      <c r="F118" s="64"/>
      <c r="G118" s="64"/>
      <c r="H118" s="64"/>
      <c r="I118" s="64"/>
      <c r="J118" s="64"/>
      <c r="K118" s="64"/>
      <c r="L118" s="83"/>
      <c r="M118" s="84"/>
    </row>
    <row r="119" spans="1:13">
      <c r="A119" s="80"/>
      <c r="B119" s="64"/>
      <c r="C119" s="64"/>
      <c r="D119" s="64"/>
      <c r="E119" s="64"/>
      <c r="F119" s="64"/>
      <c r="G119" s="64"/>
      <c r="H119" s="64"/>
      <c r="I119" s="64"/>
      <c r="J119" s="64"/>
      <c r="K119" s="64"/>
      <c r="L119" s="83"/>
      <c r="M119" s="84"/>
    </row>
    <row r="120" spans="1:13">
      <c r="A120" s="80"/>
      <c r="B120" s="64"/>
      <c r="C120" s="64"/>
      <c r="D120" s="64"/>
      <c r="E120" s="64"/>
      <c r="F120" s="64"/>
      <c r="G120" s="64"/>
      <c r="H120" s="64"/>
      <c r="I120" s="64"/>
      <c r="J120" s="64"/>
      <c r="K120" s="64"/>
      <c r="L120" s="83"/>
      <c r="M120" s="84"/>
    </row>
    <row r="121" spans="1:13" ht="16.2" thickBot="1">
      <c r="A121" s="80"/>
      <c r="B121" s="64"/>
      <c r="C121" s="64"/>
      <c r="D121" s="64"/>
      <c r="E121" s="64"/>
      <c r="F121" s="64"/>
      <c r="G121" s="64"/>
      <c r="H121" s="64"/>
      <c r="I121" s="64"/>
      <c r="J121" s="64"/>
      <c r="K121" s="64"/>
      <c r="L121" s="83"/>
      <c r="M121" s="84"/>
    </row>
    <row r="122" spans="1:13" ht="16.2" thickBot="1">
      <c r="A122" s="223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</row>
    <row r="123" spans="1:13" ht="43.05" customHeight="1" thickBot="1">
      <c r="A123" s="218" t="s">
        <v>641</v>
      </c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20"/>
    </row>
    <row r="124" spans="1:13" ht="16.5" customHeight="1" thickBot="1">
      <c r="A124" s="221"/>
      <c r="B124" s="222"/>
      <c r="C124" s="222"/>
      <c r="D124" s="222"/>
      <c r="E124" s="222"/>
      <c r="F124" s="222"/>
      <c r="G124" s="222"/>
      <c r="H124" s="222"/>
      <c r="I124" s="222"/>
      <c r="J124" s="222"/>
      <c r="K124" s="222"/>
      <c r="L124" s="222"/>
      <c r="M124" s="222"/>
    </row>
    <row r="125" spans="1:13" ht="40.049999999999997" customHeight="1">
      <c r="A125" s="186"/>
      <c r="B125" s="209" t="s">
        <v>657</v>
      </c>
      <c r="C125" s="225"/>
      <c r="D125" s="210"/>
      <c r="E125" s="209" t="s">
        <v>658</v>
      </c>
      <c r="F125" s="210"/>
      <c r="G125" s="209" t="s">
        <v>43</v>
      </c>
      <c r="H125" s="225"/>
      <c r="I125" s="210"/>
      <c r="J125" s="209" t="s">
        <v>659</v>
      </c>
      <c r="K125" s="210"/>
      <c r="L125" s="209" t="s">
        <v>660</v>
      </c>
      <c r="M125" s="210"/>
    </row>
    <row r="126" spans="1:13" ht="48.45" customHeight="1" thickBot="1">
      <c r="A126" s="180" t="s">
        <v>16</v>
      </c>
      <c r="B126" s="187" t="s">
        <v>642</v>
      </c>
      <c r="C126" s="181" t="s">
        <v>655</v>
      </c>
      <c r="D126" s="185" t="s">
        <v>643</v>
      </c>
      <c r="E126" s="187" t="s">
        <v>655</v>
      </c>
      <c r="F126" s="185" t="s">
        <v>643</v>
      </c>
      <c r="G126" s="187" t="s">
        <v>644</v>
      </c>
      <c r="H126" s="181" t="s">
        <v>645</v>
      </c>
      <c r="I126" s="185" t="s">
        <v>646</v>
      </c>
      <c r="J126" s="187" t="s">
        <v>647</v>
      </c>
      <c r="K126" s="185" t="s">
        <v>656</v>
      </c>
      <c r="L126" s="187" t="s">
        <v>648</v>
      </c>
      <c r="M126" s="185" t="s">
        <v>649</v>
      </c>
    </row>
    <row r="127" spans="1:13">
      <c r="A127" s="190"/>
      <c r="B127" s="188"/>
      <c r="C127" s="85"/>
      <c r="D127" s="196"/>
      <c r="E127" s="193"/>
      <c r="F127" s="87"/>
      <c r="G127" s="193"/>
      <c r="H127" s="86"/>
      <c r="I127" s="196"/>
      <c r="J127" s="188"/>
      <c r="K127" s="196"/>
      <c r="L127" s="193"/>
      <c r="M127" s="87"/>
    </row>
    <row r="128" spans="1:13">
      <c r="A128" s="191"/>
      <c r="B128" s="144"/>
      <c r="C128" s="64"/>
      <c r="D128" s="174"/>
      <c r="E128" s="194"/>
      <c r="F128" s="84"/>
      <c r="G128" s="194"/>
      <c r="H128" s="83"/>
      <c r="I128" s="174"/>
      <c r="J128" s="144"/>
      <c r="K128" s="174"/>
      <c r="L128" s="194"/>
      <c r="M128" s="84"/>
    </row>
    <row r="129" spans="1:13">
      <c r="A129" s="191"/>
      <c r="B129" s="144"/>
      <c r="C129" s="64"/>
      <c r="D129" s="174"/>
      <c r="E129" s="194"/>
      <c r="F129" s="84"/>
      <c r="G129" s="194"/>
      <c r="H129" s="83"/>
      <c r="I129" s="174"/>
      <c r="J129" s="144"/>
      <c r="K129" s="174"/>
      <c r="L129" s="194"/>
      <c r="M129" s="84"/>
    </row>
    <row r="130" spans="1:13">
      <c r="A130" s="191"/>
      <c r="B130" s="144"/>
      <c r="C130" s="64"/>
      <c r="D130" s="174"/>
      <c r="E130" s="194"/>
      <c r="F130" s="84"/>
      <c r="G130" s="194"/>
      <c r="H130" s="83"/>
      <c r="I130" s="174"/>
      <c r="J130" s="144"/>
      <c r="K130" s="174"/>
      <c r="L130" s="194"/>
      <c r="M130" s="84"/>
    </row>
    <row r="131" spans="1:13">
      <c r="A131" s="191"/>
      <c r="B131" s="144"/>
      <c r="C131" s="64"/>
      <c r="D131" s="174"/>
      <c r="E131" s="194"/>
      <c r="F131" s="84"/>
      <c r="G131" s="194"/>
      <c r="H131" s="83"/>
      <c r="I131" s="174"/>
      <c r="J131" s="144"/>
      <c r="K131" s="174"/>
      <c r="L131" s="194"/>
      <c r="M131" s="84"/>
    </row>
    <row r="132" spans="1:13">
      <c r="A132" s="191"/>
      <c r="B132" s="144"/>
      <c r="C132" s="64"/>
      <c r="D132" s="174"/>
      <c r="E132" s="194"/>
      <c r="F132" s="84"/>
      <c r="G132" s="194"/>
      <c r="H132" s="83"/>
      <c r="I132" s="174"/>
      <c r="J132" s="144"/>
      <c r="K132" s="174"/>
      <c r="L132" s="194"/>
      <c r="M132" s="84"/>
    </row>
    <row r="133" spans="1:13">
      <c r="A133" s="191"/>
      <c r="B133" s="144"/>
      <c r="C133" s="64"/>
      <c r="D133" s="174"/>
      <c r="E133" s="194"/>
      <c r="F133" s="84"/>
      <c r="G133" s="194"/>
      <c r="H133" s="83"/>
      <c r="I133" s="174"/>
      <c r="J133" s="144"/>
      <c r="K133" s="174"/>
      <c r="L133" s="194"/>
      <c r="M133" s="84"/>
    </row>
    <row r="134" spans="1:13">
      <c r="A134" s="191"/>
      <c r="B134" s="144"/>
      <c r="C134" s="64"/>
      <c r="D134" s="174"/>
      <c r="E134" s="194"/>
      <c r="F134" s="84"/>
      <c r="G134" s="194"/>
      <c r="H134" s="83"/>
      <c r="I134" s="174"/>
      <c r="J134" s="144"/>
      <c r="K134" s="174"/>
      <c r="L134" s="194"/>
      <c r="M134" s="84"/>
    </row>
    <row r="135" spans="1:13">
      <c r="A135" s="191"/>
      <c r="B135" s="144"/>
      <c r="C135" s="64"/>
      <c r="D135" s="174"/>
      <c r="E135" s="194"/>
      <c r="F135" s="84"/>
      <c r="G135" s="194"/>
      <c r="H135" s="83"/>
      <c r="I135" s="174"/>
      <c r="J135" s="144"/>
      <c r="K135" s="174"/>
      <c r="L135" s="194"/>
      <c r="M135" s="84"/>
    </row>
    <row r="136" spans="1:13">
      <c r="A136" s="191"/>
      <c r="B136" s="144"/>
      <c r="C136" s="64"/>
      <c r="D136" s="174"/>
      <c r="E136" s="194"/>
      <c r="F136" s="84"/>
      <c r="G136" s="194"/>
      <c r="H136" s="83"/>
      <c r="I136" s="174"/>
      <c r="J136" s="144"/>
      <c r="K136" s="174"/>
      <c r="L136" s="194"/>
      <c r="M136" s="84"/>
    </row>
    <row r="137" spans="1:13">
      <c r="A137" s="191"/>
      <c r="B137" s="144"/>
      <c r="C137" s="64"/>
      <c r="D137" s="174"/>
      <c r="E137" s="194"/>
      <c r="F137" s="84"/>
      <c r="G137" s="194"/>
      <c r="H137" s="83"/>
      <c r="I137" s="174"/>
      <c r="J137" s="144"/>
      <c r="K137" s="174"/>
      <c r="L137" s="194"/>
      <c r="M137" s="84"/>
    </row>
    <row r="138" spans="1:13">
      <c r="A138" s="191"/>
      <c r="B138" s="144"/>
      <c r="C138" s="64"/>
      <c r="D138" s="174"/>
      <c r="E138" s="194"/>
      <c r="F138" s="84"/>
      <c r="G138" s="194"/>
      <c r="H138" s="83"/>
      <c r="I138" s="174"/>
      <c r="J138" s="144"/>
      <c r="K138" s="174"/>
      <c r="L138" s="194"/>
      <c r="M138" s="84"/>
    </row>
    <row r="139" spans="1:13">
      <c r="A139" s="191"/>
      <c r="B139" s="144"/>
      <c r="C139" s="64"/>
      <c r="D139" s="174"/>
      <c r="E139" s="194"/>
      <c r="F139" s="84"/>
      <c r="G139" s="194"/>
      <c r="H139" s="83"/>
      <c r="I139" s="174"/>
      <c r="J139" s="144"/>
      <c r="K139" s="174"/>
      <c r="L139" s="194"/>
      <c r="M139" s="84"/>
    </row>
    <row r="140" spans="1:13">
      <c r="A140" s="191"/>
      <c r="B140" s="144"/>
      <c r="C140" s="64"/>
      <c r="D140" s="174"/>
      <c r="E140" s="194"/>
      <c r="F140" s="84"/>
      <c r="G140" s="194"/>
      <c r="H140" s="83"/>
      <c r="I140" s="174"/>
      <c r="J140" s="144"/>
      <c r="K140" s="174"/>
      <c r="L140" s="194"/>
      <c r="M140" s="84"/>
    </row>
    <row r="141" spans="1:13">
      <c r="A141" s="191"/>
      <c r="B141" s="144"/>
      <c r="C141" s="64"/>
      <c r="D141" s="174"/>
      <c r="E141" s="194"/>
      <c r="F141" s="84"/>
      <c r="G141" s="194"/>
      <c r="H141" s="83"/>
      <c r="I141" s="174"/>
      <c r="J141" s="144"/>
      <c r="K141" s="174"/>
      <c r="L141" s="194"/>
      <c r="M141" s="84"/>
    </row>
    <row r="142" spans="1:13">
      <c r="A142" s="191"/>
      <c r="B142" s="144"/>
      <c r="C142" s="64"/>
      <c r="D142" s="174"/>
      <c r="E142" s="194"/>
      <c r="F142" s="84"/>
      <c r="G142" s="194"/>
      <c r="H142" s="83"/>
      <c r="I142" s="174"/>
      <c r="J142" s="144"/>
      <c r="K142" s="174"/>
      <c r="L142" s="194"/>
      <c r="M142" s="84"/>
    </row>
    <row r="143" spans="1:13">
      <c r="A143" s="191"/>
      <c r="B143" s="144"/>
      <c r="C143" s="64"/>
      <c r="D143" s="174"/>
      <c r="E143" s="194"/>
      <c r="F143" s="84"/>
      <c r="G143" s="194"/>
      <c r="H143" s="83"/>
      <c r="I143" s="174"/>
      <c r="J143" s="144"/>
      <c r="K143" s="174"/>
      <c r="L143" s="194"/>
      <c r="M143" s="84"/>
    </row>
    <row r="144" spans="1:13">
      <c r="A144" s="191"/>
      <c r="B144" s="144"/>
      <c r="C144" s="64"/>
      <c r="D144" s="174"/>
      <c r="E144" s="194"/>
      <c r="F144" s="84"/>
      <c r="G144" s="194"/>
      <c r="H144" s="83"/>
      <c r="I144" s="174"/>
      <c r="J144" s="144"/>
      <c r="K144" s="174"/>
      <c r="L144" s="194"/>
      <c r="M144" s="84"/>
    </row>
    <row r="145" spans="1:13">
      <c r="A145" s="191"/>
      <c r="B145" s="144"/>
      <c r="C145" s="64"/>
      <c r="D145" s="174"/>
      <c r="E145" s="194"/>
      <c r="F145" s="84"/>
      <c r="G145" s="194"/>
      <c r="H145" s="83"/>
      <c r="I145" s="174"/>
      <c r="J145" s="144"/>
      <c r="K145" s="174"/>
      <c r="L145" s="194"/>
      <c r="M145" s="84"/>
    </row>
    <row r="146" spans="1:13">
      <c r="A146" s="191"/>
      <c r="B146" s="144"/>
      <c r="C146" s="64"/>
      <c r="D146" s="174"/>
      <c r="E146" s="194"/>
      <c r="F146" s="84"/>
      <c r="G146" s="194"/>
      <c r="H146" s="83"/>
      <c r="I146" s="174"/>
      <c r="J146" s="144"/>
      <c r="K146" s="174"/>
      <c r="L146" s="194"/>
      <c r="M146" s="84"/>
    </row>
    <row r="147" spans="1:13">
      <c r="A147" s="191"/>
      <c r="B147" s="144"/>
      <c r="C147" s="64"/>
      <c r="D147" s="174"/>
      <c r="E147" s="194"/>
      <c r="F147" s="84"/>
      <c r="G147" s="194"/>
      <c r="H147" s="83"/>
      <c r="I147" s="174"/>
      <c r="J147" s="144"/>
      <c r="K147" s="174"/>
      <c r="L147" s="194"/>
      <c r="M147" s="84"/>
    </row>
    <row r="148" spans="1:13">
      <c r="A148" s="191"/>
      <c r="B148" s="144"/>
      <c r="C148" s="64"/>
      <c r="D148" s="174"/>
      <c r="E148" s="194"/>
      <c r="F148" s="84"/>
      <c r="G148" s="194"/>
      <c r="H148" s="83"/>
      <c r="I148" s="174"/>
      <c r="J148" s="144"/>
      <c r="K148" s="174"/>
      <c r="L148" s="194"/>
      <c r="M148" s="84"/>
    </row>
    <row r="149" spans="1:13">
      <c r="A149" s="191"/>
      <c r="B149" s="144"/>
      <c r="C149" s="64"/>
      <c r="D149" s="174"/>
      <c r="E149" s="194"/>
      <c r="F149" s="84"/>
      <c r="G149" s="194"/>
      <c r="H149" s="83"/>
      <c r="I149" s="174"/>
      <c r="J149" s="144"/>
      <c r="K149" s="174"/>
      <c r="L149" s="194"/>
      <c r="M149" s="84"/>
    </row>
    <row r="150" spans="1:13">
      <c r="A150" s="191"/>
      <c r="B150" s="144"/>
      <c r="C150" s="64"/>
      <c r="D150" s="174"/>
      <c r="E150" s="194"/>
      <c r="F150" s="84"/>
      <c r="G150" s="194"/>
      <c r="H150" s="83"/>
      <c r="I150" s="174"/>
      <c r="J150" s="144"/>
      <c r="K150" s="174"/>
      <c r="L150" s="194"/>
      <c r="M150" s="84"/>
    </row>
    <row r="151" spans="1:13">
      <c r="A151" s="191"/>
      <c r="B151" s="144"/>
      <c r="C151" s="64"/>
      <c r="D151" s="174"/>
      <c r="E151" s="194"/>
      <c r="F151" s="84"/>
      <c r="G151" s="194"/>
      <c r="H151" s="83"/>
      <c r="I151" s="174"/>
      <c r="J151" s="144"/>
      <c r="K151" s="174"/>
      <c r="L151" s="194"/>
      <c r="M151" s="84"/>
    </row>
    <row r="152" spans="1:13">
      <c r="A152" s="191"/>
      <c r="B152" s="144"/>
      <c r="C152" s="64"/>
      <c r="D152" s="174"/>
      <c r="E152" s="194"/>
      <c r="F152" s="84"/>
      <c r="G152" s="194"/>
      <c r="H152" s="83"/>
      <c r="I152" s="174"/>
      <c r="J152" s="144"/>
      <c r="K152" s="174"/>
      <c r="L152" s="194"/>
      <c r="M152" s="84"/>
    </row>
    <row r="153" spans="1:13">
      <c r="A153" s="191"/>
      <c r="B153" s="144"/>
      <c r="C153" s="64"/>
      <c r="D153" s="174"/>
      <c r="E153" s="194"/>
      <c r="F153" s="84"/>
      <c r="G153" s="194"/>
      <c r="H153" s="83"/>
      <c r="I153" s="174"/>
      <c r="J153" s="144"/>
      <c r="K153" s="174"/>
      <c r="L153" s="194"/>
      <c r="M153" s="84"/>
    </row>
    <row r="154" spans="1:13">
      <c r="A154" s="191"/>
      <c r="B154" s="144"/>
      <c r="C154" s="64"/>
      <c r="D154" s="174"/>
      <c r="E154" s="194"/>
      <c r="F154" s="84"/>
      <c r="G154" s="194"/>
      <c r="H154" s="83"/>
      <c r="I154" s="174"/>
      <c r="J154" s="144"/>
      <c r="K154" s="174"/>
      <c r="L154" s="194"/>
      <c r="M154" s="84"/>
    </row>
    <row r="155" spans="1:13">
      <c r="A155" s="191"/>
      <c r="B155" s="144"/>
      <c r="C155" s="64"/>
      <c r="D155" s="174"/>
      <c r="E155" s="194"/>
      <c r="F155" s="84"/>
      <c r="G155" s="194"/>
      <c r="H155" s="83"/>
      <c r="I155" s="174"/>
      <c r="J155" s="144"/>
      <c r="K155" s="174"/>
      <c r="L155" s="194"/>
      <c r="M155" s="84"/>
    </row>
    <row r="156" spans="1:13">
      <c r="A156" s="191"/>
      <c r="B156" s="144"/>
      <c r="C156" s="64"/>
      <c r="D156" s="174"/>
      <c r="E156" s="194"/>
      <c r="F156" s="84"/>
      <c r="G156" s="194"/>
      <c r="H156" s="83"/>
      <c r="I156" s="174"/>
      <c r="J156" s="144"/>
      <c r="K156" s="174"/>
      <c r="L156" s="194"/>
      <c r="M156" s="84"/>
    </row>
    <row r="157" spans="1:13">
      <c r="A157" s="191"/>
      <c r="B157" s="144"/>
      <c r="C157" s="64"/>
      <c r="D157" s="174"/>
      <c r="E157" s="194"/>
      <c r="F157" s="84"/>
      <c r="G157" s="194"/>
      <c r="H157" s="83"/>
      <c r="I157" s="174"/>
      <c r="J157" s="144"/>
      <c r="K157" s="174"/>
      <c r="L157" s="194"/>
      <c r="M157" s="84"/>
    </row>
    <row r="158" spans="1:13">
      <c r="A158" s="191"/>
      <c r="B158" s="144"/>
      <c r="C158" s="64"/>
      <c r="D158" s="174"/>
      <c r="E158" s="194"/>
      <c r="F158" s="84"/>
      <c r="G158" s="194"/>
      <c r="H158" s="83"/>
      <c r="I158" s="174"/>
      <c r="J158" s="144"/>
      <c r="K158" s="174"/>
      <c r="L158" s="194"/>
      <c r="M158" s="84"/>
    </row>
    <row r="159" spans="1:13">
      <c r="A159" s="191"/>
      <c r="B159" s="144"/>
      <c r="C159" s="64"/>
      <c r="D159" s="174"/>
      <c r="E159" s="194"/>
      <c r="F159" s="84"/>
      <c r="G159" s="194"/>
      <c r="H159" s="83"/>
      <c r="I159" s="174"/>
      <c r="J159" s="144"/>
      <c r="K159" s="174"/>
      <c r="L159" s="194"/>
      <c r="M159" s="84"/>
    </row>
    <row r="160" spans="1:13">
      <c r="A160" s="191"/>
      <c r="B160" s="144"/>
      <c r="C160" s="64"/>
      <c r="D160" s="174"/>
      <c r="E160" s="194"/>
      <c r="F160" s="84"/>
      <c r="G160" s="194"/>
      <c r="H160" s="83"/>
      <c r="I160" s="174"/>
      <c r="J160" s="144"/>
      <c r="K160" s="174"/>
      <c r="L160" s="194"/>
      <c r="M160" s="84"/>
    </row>
    <row r="161" spans="1:13">
      <c r="A161" s="191"/>
      <c r="B161" s="144"/>
      <c r="C161" s="64"/>
      <c r="D161" s="174"/>
      <c r="E161" s="194"/>
      <c r="F161" s="84"/>
      <c r="G161" s="194"/>
      <c r="H161" s="83"/>
      <c r="I161" s="174"/>
      <c r="J161" s="144"/>
      <c r="K161" s="174"/>
      <c r="L161" s="194"/>
      <c r="M161" s="84"/>
    </row>
    <row r="162" spans="1:13">
      <c r="A162" s="191"/>
      <c r="B162" s="144"/>
      <c r="C162" s="64"/>
      <c r="D162" s="174"/>
      <c r="E162" s="194"/>
      <c r="F162" s="84"/>
      <c r="G162" s="194"/>
      <c r="H162" s="83"/>
      <c r="I162" s="174"/>
      <c r="J162" s="144"/>
      <c r="K162" s="174"/>
      <c r="L162" s="194"/>
      <c r="M162" s="84"/>
    </row>
    <row r="163" spans="1:13">
      <c r="A163" s="191"/>
      <c r="B163" s="144"/>
      <c r="C163" s="64"/>
      <c r="D163" s="174"/>
      <c r="E163" s="194"/>
      <c r="F163" s="84"/>
      <c r="G163" s="194"/>
      <c r="H163" s="83"/>
      <c r="I163" s="174"/>
      <c r="J163" s="144"/>
      <c r="K163" s="174"/>
      <c r="L163" s="194"/>
      <c r="M163" s="84"/>
    </row>
    <row r="164" spans="1:13">
      <c r="A164" s="191"/>
      <c r="B164" s="144"/>
      <c r="C164" s="64"/>
      <c r="D164" s="174"/>
      <c r="E164" s="194"/>
      <c r="F164" s="84"/>
      <c r="G164" s="194"/>
      <c r="H164" s="83"/>
      <c r="I164" s="174"/>
      <c r="J164" s="144"/>
      <c r="K164" s="174"/>
      <c r="L164" s="194"/>
      <c r="M164" s="84"/>
    </row>
    <row r="165" spans="1:13">
      <c r="A165" s="191"/>
      <c r="B165" s="144"/>
      <c r="C165" s="64"/>
      <c r="D165" s="174"/>
      <c r="E165" s="194"/>
      <c r="F165" s="84"/>
      <c r="G165" s="194"/>
      <c r="H165" s="83"/>
      <c r="I165" s="174"/>
      <c r="J165" s="144"/>
      <c r="K165" s="174"/>
      <c r="L165" s="194"/>
      <c r="M165" s="84"/>
    </row>
    <row r="166" spans="1:13">
      <c r="A166" s="191"/>
      <c r="B166" s="144"/>
      <c r="C166" s="64"/>
      <c r="D166" s="174"/>
      <c r="E166" s="194"/>
      <c r="F166" s="84"/>
      <c r="G166" s="194"/>
      <c r="H166" s="83"/>
      <c r="I166" s="174"/>
      <c r="J166" s="144"/>
      <c r="K166" s="174"/>
      <c r="L166" s="194"/>
      <c r="M166" s="84"/>
    </row>
    <row r="167" spans="1:13">
      <c r="A167" s="191"/>
      <c r="B167" s="144"/>
      <c r="C167" s="64"/>
      <c r="D167" s="174"/>
      <c r="E167" s="194"/>
      <c r="F167" s="84"/>
      <c r="G167" s="194"/>
      <c r="H167" s="83"/>
      <c r="I167" s="174"/>
      <c r="J167" s="144"/>
      <c r="K167" s="174"/>
      <c r="L167" s="194"/>
      <c r="M167" s="84"/>
    </row>
    <row r="168" spans="1:13">
      <c r="A168" s="191"/>
      <c r="B168" s="144"/>
      <c r="C168" s="64"/>
      <c r="D168" s="174"/>
      <c r="E168" s="194"/>
      <c r="F168" s="84"/>
      <c r="G168" s="194"/>
      <c r="H168" s="83"/>
      <c r="I168" s="174"/>
      <c r="J168" s="144"/>
      <c r="K168" s="174"/>
      <c r="L168" s="194"/>
      <c r="M168" s="84"/>
    </row>
    <row r="169" spans="1:13">
      <c r="A169" s="191"/>
      <c r="B169" s="144"/>
      <c r="C169" s="64"/>
      <c r="D169" s="174"/>
      <c r="E169" s="194"/>
      <c r="F169" s="84"/>
      <c r="G169" s="194"/>
      <c r="H169" s="83"/>
      <c r="I169" s="174"/>
      <c r="J169" s="144"/>
      <c r="K169" s="174"/>
      <c r="L169" s="194"/>
      <c r="M169" s="84"/>
    </row>
    <row r="170" spans="1:13">
      <c r="A170" s="191"/>
      <c r="B170" s="144"/>
      <c r="C170" s="64"/>
      <c r="D170" s="174"/>
      <c r="E170" s="194"/>
      <c r="F170" s="84"/>
      <c r="G170" s="194"/>
      <c r="H170" s="83"/>
      <c r="I170" s="174"/>
      <c r="J170" s="144"/>
      <c r="K170" s="174"/>
      <c r="L170" s="194"/>
      <c r="M170" s="84"/>
    </row>
    <row r="171" spans="1:13">
      <c r="A171" s="191"/>
      <c r="B171" s="144"/>
      <c r="C171" s="64"/>
      <c r="D171" s="174"/>
      <c r="E171" s="194"/>
      <c r="F171" s="84"/>
      <c r="G171" s="194"/>
      <c r="H171" s="83"/>
      <c r="I171" s="174"/>
      <c r="J171" s="144"/>
      <c r="K171" s="174"/>
      <c r="L171" s="194"/>
      <c r="M171" s="84"/>
    </row>
    <row r="172" spans="1:13">
      <c r="A172" s="191"/>
      <c r="B172" s="144"/>
      <c r="C172" s="64"/>
      <c r="D172" s="174"/>
      <c r="E172" s="194"/>
      <c r="F172" s="84"/>
      <c r="G172" s="194"/>
      <c r="H172" s="83"/>
      <c r="I172" s="174"/>
      <c r="J172" s="144"/>
      <c r="K172" s="174"/>
      <c r="L172" s="194"/>
      <c r="M172" s="84"/>
    </row>
    <row r="173" spans="1:13">
      <c r="A173" s="191"/>
      <c r="B173" s="144"/>
      <c r="C173" s="64"/>
      <c r="D173" s="174"/>
      <c r="E173" s="194"/>
      <c r="F173" s="84"/>
      <c r="G173" s="194"/>
      <c r="H173" s="83"/>
      <c r="I173" s="174"/>
      <c r="J173" s="144"/>
      <c r="K173" s="174"/>
      <c r="L173" s="194"/>
      <c r="M173" s="84"/>
    </row>
    <row r="174" spans="1:13">
      <c r="A174" s="191"/>
      <c r="B174" s="144"/>
      <c r="C174" s="64"/>
      <c r="D174" s="174"/>
      <c r="E174" s="194"/>
      <c r="F174" s="84"/>
      <c r="G174" s="194"/>
      <c r="H174" s="83"/>
      <c r="I174" s="174"/>
      <c r="J174" s="144"/>
      <c r="K174" s="174"/>
      <c r="L174" s="194"/>
      <c r="M174" s="84"/>
    </row>
    <row r="175" spans="1:13">
      <c r="A175" s="191"/>
      <c r="B175" s="144"/>
      <c r="C175" s="64"/>
      <c r="D175" s="174"/>
      <c r="E175" s="194"/>
      <c r="F175" s="84"/>
      <c r="G175" s="194"/>
      <c r="H175" s="83"/>
      <c r="I175" s="174"/>
      <c r="J175" s="144"/>
      <c r="K175" s="174"/>
      <c r="L175" s="194"/>
      <c r="M175" s="84"/>
    </row>
    <row r="176" spans="1:13">
      <c r="A176" s="191"/>
      <c r="B176" s="144"/>
      <c r="C176" s="64"/>
      <c r="D176" s="174"/>
      <c r="E176" s="194"/>
      <c r="F176" s="84"/>
      <c r="G176" s="194"/>
      <c r="H176" s="83"/>
      <c r="I176" s="174"/>
      <c r="J176" s="144"/>
      <c r="K176" s="174"/>
      <c r="L176" s="194"/>
      <c r="M176" s="84"/>
    </row>
    <row r="177" spans="1:13">
      <c r="A177" s="191"/>
      <c r="B177" s="144"/>
      <c r="C177" s="64"/>
      <c r="D177" s="174"/>
      <c r="E177" s="194"/>
      <c r="F177" s="84"/>
      <c r="G177" s="194"/>
      <c r="H177" s="83"/>
      <c r="I177" s="174"/>
      <c r="J177" s="144"/>
      <c r="K177" s="174"/>
      <c r="L177" s="194"/>
      <c r="M177" s="84"/>
    </row>
    <row r="178" spans="1:13">
      <c r="A178" s="191"/>
      <c r="B178" s="144"/>
      <c r="C178" s="64"/>
      <c r="D178" s="174"/>
      <c r="E178" s="194"/>
      <c r="F178" s="84"/>
      <c r="G178" s="194"/>
      <c r="H178" s="83"/>
      <c r="I178" s="174"/>
      <c r="J178" s="144"/>
      <c r="K178" s="174"/>
      <c r="L178" s="194"/>
      <c r="M178" s="84"/>
    </row>
    <row r="179" spans="1:13">
      <c r="A179" s="191"/>
      <c r="B179" s="144"/>
      <c r="C179" s="64"/>
      <c r="D179" s="174"/>
      <c r="E179" s="194"/>
      <c r="F179" s="84"/>
      <c r="G179" s="194"/>
      <c r="H179" s="83"/>
      <c r="I179" s="174"/>
      <c r="J179" s="144"/>
      <c r="K179" s="174"/>
      <c r="L179" s="194"/>
      <c r="M179" s="84"/>
    </row>
    <row r="180" spans="1:13">
      <c r="A180" s="191"/>
      <c r="B180" s="144"/>
      <c r="C180" s="64"/>
      <c r="D180" s="174"/>
      <c r="E180" s="194"/>
      <c r="F180" s="84"/>
      <c r="G180" s="194"/>
      <c r="H180" s="83"/>
      <c r="I180" s="174"/>
      <c r="J180" s="144"/>
      <c r="K180" s="174"/>
      <c r="L180" s="194"/>
      <c r="M180" s="84"/>
    </row>
    <row r="181" spans="1:13">
      <c r="A181" s="191"/>
      <c r="B181" s="144"/>
      <c r="C181" s="64"/>
      <c r="D181" s="174"/>
      <c r="E181" s="194"/>
      <c r="F181" s="84"/>
      <c r="G181" s="194"/>
      <c r="H181" s="83"/>
      <c r="I181" s="174"/>
      <c r="J181" s="144"/>
      <c r="K181" s="174"/>
      <c r="L181" s="194"/>
      <c r="M181" s="84"/>
    </row>
    <row r="182" spans="1:13">
      <c r="A182" s="191"/>
      <c r="B182" s="144"/>
      <c r="C182" s="64"/>
      <c r="D182" s="174"/>
      <c r="E182" s="194"/>
      <c r="F182" s="84"/>
      <c r="G182" s="194"/>
      <c r="H182" s="83"/>
      <c r="I182" s="174"/>
      <c r="J182" s="144"/>
      <c r="K182" s="174"/>
      <c r="L182" s="194"/>
      <c r="M182" s="84"/>
    </row>
    <row r="183" spans="1:13">
      <c r="A183" s="191"/>
      <c r="B183" s="144"/>
      <c r="C183" s="64"/>
      <c r="D183" s="174"/>
      <c r="E183" s="194"/>
      <c r="F183" s="84"/>
      <c r="G183" s="194"/>
      <c r="H183" s="83"/>
      <c r="I183" s="174"/>
      <c r="J183" s="144"/>
      <c r="K183" s="174"/>
      <c r="L183" s="194"/>
      <c r="M183" s="84"/>
    </row>
    <row r="184" spans="1:13">
      <c r="A184" s="191"/>
      <c r="B184" s="144"/>
      <c r="C184" s="64"/>
      <c r="D184" s="174"/>
      <c r="E184" s="194"/>
      <c r="F184" s="84"/>
      <c r="G184" s="194"/>
      <c r="H184" s="83"/>
      <c r="I184" s="174"/>
      <c r="J184" s="144"/>
      <c r="K184" s="174"/>
      <c r="L184" s="194"/>
      <c r="M184" s="84"/>
    </row>
    <row r="185" spans="1:13">
      <c r="A185" s="191"/>
      <c r="B185" s="144"/>
      <c r="C185" s="64"/>
      <c r="D185" s="174"/>
      <c r="E185" s="194"/>
      <c r="F185" s="84"/>
      <c r="G185" s="194"/>
      <c r="H185" s="83"/>
      <c r="I185" s="174"/>
      <c r="J185" s="144"/>
      <c r="K185" s="174"/>
      <c r="L185" s="194"/>
      <c r="M185" s="84"/>
    </row>
    <row r="186" spans="1:13">
      <c r="A186" s="191"/>
      <c r="B186" s="144"/>
      <c r="C186" s="64"/>
      <c r="D186" s="174"/>
      <c r="E186" s="194"/>
      <c r="F186" s="84"/>
      <c r="G186" s="194"/>
      <c r="H186" s="83"/>
      <c r="I186" s="174"/>
      <c r="J186" s="144"/>
      <c r="K186" s="174"/>
      <c r="L186" s="194"/>
      <c r="M186" s="84"/>
    </row>
    <row r="187" spans="1:13">
      <c r="A187" s="191"/>
      <c r="B187" s="144"/>
      <c r="C187" s="64"/>
      <c r="D187" s="174"/>
      <c r="E187" s="194"/>
      <c r="F187" s="84"/>
      <c r="G187" s="194"/>
      <c r="H187" s="83"/>
      <c r="I187" s="174"/>
      <c r="J187" s="144"/>
      <c r="K187" s="174"/>
      <c r="L187" s="194"/>
      <c r="M187" s="84"/>
    </row>
    <row r="188" spans="1:13">
      <c r="A188" s="191"/>
      <c r="B188" s="144"/>
      <c r="C188" s="64"/>
      <c r="D188" s="174"/>
      <c r="E188" s="194"/>
      <c r="F188" s="84"/>
      <c r="G188" s="194"/>
      <c r="H188" s="83"/>
      <c r="I188" s="174"/>
      <c r="J188" s="144"/>
      <c r="K188" s="174"/>
      <c r="L188" s="194"/>
      <c r="M188" s="84"/>
    </row>
    <row r="189" spans="1:13">
      <c r="A189" s="191"/>
      <c r="B189" s="144"/>
      <c r="C189" s="64"/>
      <c r="D189" s="174"/>
      <c r="E189" s="194"/>
      <c r="F189" s="84"/>
      <c r="G189" s="194"/>
      <c r="H189" s="83"/>
      <c r="I189" s="174"/>
      <c r="J189" s="144"/>
      <c r="K189" s="174"/>
      <c r="L189" s="194"/>
      <c r="M189" s="84"/>
    </row>
    <row r="190" spans="1:13">
      <c r="A190" s="191"/>
      <c r="B190" s="144"/>
      <c r="C190" s="64"/>
      <c r="D190" s="174"/>
      <c r="E190" s="194"/>
      <c r="F190" s="84"/>
      <c r="G190" s="194"/>
      <c r="H190" s="83"/>
      <c r="I190" s="174"/>
      <c r="J190" s="144"/>
      <c r="K190" s="174"/>
      <c r="L190" s="194"/>
      <c r="M190" s="84"/>
    </row>
    <row r="191" spans="1:13">
      <c r="A191" s="191"/>
      <c r="B191" s="144"/>
      <c r="C191" s="64"/>
      <c r="D191" s="174"/>
      <c r="E191" s="194"/>
      <c r="F191" s="84"/>
      <c r="G191" s="194"/>
      <c r="H191" s="83"/>
      <c r="I191" s="174"/>
      <c r="J191" s="144"/>
      <c r="K191" s="174"/>
      <c r="L191" s="194"/>
      <c r="M191" s="84"/>
    </row>
    <row r="192" spans="1:13">
      <c r="A192" s="191"/>
      <c r="B192" s="144"/>
      <c r="C192" s="64"/>
      <c r="D192" s="174"/>
      <c r="E192" s="194"/>
      <c r="F192" s="84"/>
      <c r="G192" s="194"/>
      <c r="H192" s="83"/>
      <c r="I192" s="174"/>
      <c r="J192" s="144"/>
      <c r="K192" s="174"/>
      <c r="L192" s="194"/>
      <c r="M192" s="84"/>
    </row>
    <row r="193" spans="1:13">
      <c r="A193" s="191"/>
      <c r="B193" s="144"/>
      <c r="C193" s="64"/>
      <c r="D193" s="174"/>
      <c r="E193" s="194"/>
      <c r="F193" s="84"/>
      <c r="G193" s="194"/>
      <c r="H193" s="83"/>
      <c r="I193" s="174"/>
      <c r="J193" s="144"/>
      <c r="K193" s="174"/>
      <c r="L193" s="194"/>
      <c r="M193" s="84"/>
    </row>
    <row r="194" spans="1:13">
      <c r="A194" s="191"/>
      <c r="B194" s="144"/>
      <c r="C194" s="64"/>
      <c r="D194" s="174"/>
      <c r="E194" s="194"/>
      <c r="F194" s="84"/>
      <c r="G194" s="194"/>
      <c r="H194" s="83"/>
      <c r="I194" s="174"/>
      <c r="J194" s="144"/>
      <c r="K194" s="174"/>
      <c r="L194" s="194"/>
      <c r="M194" s="84"/>
    </row>
    <row r="195" spans="1:13">
      <c r="A195" s="191"/>
      <c r="B195" s="144"/>
      <c r="C195" s="64"/>
      <c r="D195" s="174"/>
      <c r="E195" s="194"/>
      <c r="F195" s="84"/>
      <c r="G195" s="194"/>
      <c r="H195" s="83"/>
      <c r="I195" s="174"/>
      <c r="J195" s="144"/>
      <c r="K195" s="174"/>
      <c r="L195" s="194"/>
      <c r="M195" s="84"/>
    </row>
    <row r="196" spans="1:13">
      <c r="A196" s="191"/>
      <c r="B196" s="144"/>
      <c r="C196" s="64"/>
      <c r="D196" s="174"/>
      <c r="E196" s="194"/>
      <c r="F196" s="84"/>
      <c r="G196" s="194"/>
      <c r="H196" s="83"/>
      <c r="I196" s="174"/>
      <c r="J196" s="144"/>
      <c r="K196" s="174"/>
      <c r="L196" s="194"/>
      <c r="M196" s="84"/>
    </row>
    <row r="197" spans="1:13" ht="16.2" thickBot="1">
      <c r="A197" s="192"/>
      <c r="B197" s="189"/>
      <c r="C197" s="66"/>
      <c r="D197" s="175"/>
      <c r="E197" s="195"/>
      <c r="F197" s="93"/>
      <c r="G197" s="195"/>
      <c r="H197" s="92"/>
      <c r="I197" s="175"/>
      <c r="J197" s="189"/>
      <c r="K197" s="175"/>
      <c r="L197" s="195"/>
      <c r="M197" s="93"/>
    </row>
    <row r="198" spans="1:13" ht="45.75" customHeight="1" thickBot="1">
      <c r="A198" s="275"/>
      <c r="B198" s="275"/>
      <c r="C198" s="275"/>
      <c r="D198" s="275"/>
      <c r="E198" s="275"/>
      <c r="F198" s="275"/>
      <c r="G198" s="275"/>
      <c r="H198" s="275"/>
      <c r="I198" s="275"/>
      <c r="J198" s="275"/>
      <c r="K198" s="275"/>
      <c r="L198" s="275"/>
    </row>
    <row r="199" spans="1:13" ht="37.5" customHeight="1" thickBot="1">
      <c r="A199" s="202" t="s">
        <v>52</v>
      </c>
      <c r="B199" s="203"/>
      <c r="C199" s="203"/>
      <c r="D199" s="203"/>
      <c r="E199" s="203"/>
      <c r="F199" s="203"/>
      <c r="G199" s="203"/>
      <c r="H199" s="203"/>
      <c r="I199" s="203"/>
      <c r="J199" s="203"/>
      <c r="K199" s="203"/>
      <c r="L199" s="203"/>
      <c r="M199" s="203"/>
    </row>
    <row r="200" spans="1:13" ht="26.25" customHeight="1" thickBot="1">
      <c r="A200" s="226" t="s">
        <v>31</v>
      </c>
      <c r="B200" s="227"/>
      <c r="C200" s="228"/>
      <c r="D200" s="206"/>
      <c r="E200" s="207"/>
      <c r="F200" s="208"/>
      <c r="G200" s="226" t="s">
        <v>33</v>
      </c>
      <c r="H200" s="227"/>
      <c r="I200" s="227"/>
      <c r="J200" s="228"/>
      <c r="K200" s="204"/>
      <c r="L200" s="205"/>
      <c r="M200" s="205"/>
    </row>
    <row r="201" spans="1:13" ht="35.25" customHeight="1" thickBot="1">
      <c r="A201" s="295" t="s">
        <v>471</v>
      </c>
      <c r="B201" s="296"/>
      <c r="C201" s="296"/>
      <c r="D201" s="296"/>
      <c r="E201" s="296"/>
      <c r="F201" s="296"/>
      <c r="G201" s="296"/>
      <c r="H201" s="296"/>
      <c r="I201" s="296"/>
      <c r="J201" s="296"/>
      <c r="K201" s="296"/>
      <c r="L201" s="312"/>
    </row>
    <row r="202" spans="1:13" ht="30" customHeight="1">
      <c r="A202" s="299" t="s">
        <v>35</v>
      </c>
      <c r="B202" s="300"/>
      <c r="C202" s="300"/>
      <c r="D202" s="300"/>
      <c r="E202" s="300"/>
      <c r="F202" s="300"/>
      <c r="G202" s="300"/>
      <c r="H202" s="300"/>
      <c r="I202" s="300"/>
      <c r="J202" s="300"/>
      <c r="K202" s="300"/>
      <c r="L202" s="301"/>
    </row>
    <row r="203" spans="1:13" ht="31.2">
      <c r="A203" s="78" t="s">
        <v>16</v>
      </c>
      <c r="B203" s="67" t="s">
        <v>36</v>
      </c>
      <c r="C203" s="67" t="s">
        <v>37</v>
      </c>
      <c r="D203" s="67" t="s">
        <v>38</v>
      </c>
      <c r="E203" s="67" t="s">
        <v>39</v>
      </c>
      <c r="F203" s="67"/>
      <c r="G203" s="67" t="s">
        <v>40</v>
      </c>
      <c r="H203" s="67" t="s">
        <v>41</v>
      </c>
      <c r="I203" s="67" t="s">
        <v>42</v>
      </c>
      <c r="J203" s="48" t="s">
        <v>43</v>
      </c>
      <c r="K203" s="67" t="s">
        <v>53</v>
      </c>
      <c r="L203" s="79" t="s">
        <v>45</v>
      </c>
      <c r="M203" s="79" t="s">
        <v>470</v>
      </c>
    </row>
    <row r="204" spans="1:13">
      <c r="A204" s="80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84"/>
    </row>
    <row r="205" spans="1:13">
      <c r="A205" s="80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84"/>
    </row>
    <row r="206" spans="1:13">
      <c r="A206" s="80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84"/>
    </row>
    <row r="207" spans="1:13">
      <c r="A207" s="80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84"/>
    </row>
    <row r="208" spans="1:13">
      <c r="A208" s="80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84"/>
    </row>
    <row r="209" spans="1:13">
      <c r="A209" s="80"/>
      <c r="B209" s="64"/>
      <c r="C209" s="64"/>
      <c r="D209" s="64"/>
      <c r="E209" s="64"/>
      <c r="F209" s="64"/>
      <c r="G209" s="64"/>
      <c r="H209" s="64"/>
      <c r="I209" s="64"/>
      <c r="J209" s="64"/>
      <c r="K209" s="64"/>
      <c r="L209" s="84"/>
    </row>
    <row r="210" spans="1:13">
      <c r="A210" s="80"/>
      <c r="B210" s="64"/>
      <c r="C210" s="64"/>
      <c r="D210" s="64"/>
      <c r="E210" s="64"/>
      <c r="F210" s="64"/>
      <c r="G210" s="64"/>
      <c r="H210" s="64"/>
      <c r="I210" s="64"/>
      <c r="J210" s="64"/>
      <c r="K210" s="64"/>
      <c r="L210" s="84"/>
    </row>
    <row r="211" spans="1:13">
      <c r="A211" s="80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84"/>
    </row>
    <row r="212" spans="1:13">
      <c r="A212" s="80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84"/>
    </row>
    <row r="213" spans="1:13">
      <c r="A213" s="80"/>
      <c r="B213" s="64"/>
      <c r="C213" s="64"/>
      <c r="D213" s="64"/>
      <c r="E213" s="64"/>
      <c r="F213" s="64"/>
      <c r="G213" s="64"/>
      <c r="H213" s="64"/>
      <c r="I213" s="64"/>
      <c r="J213" s="64"/>
      <c r="K213" s="64"/>
      <c r="L213" s="84"/>
    </row>
    <row r="214" spans="1:13">
      <c r="A214" s="80"/>
      <c r="B214" s="64"/>
      <c r="C214" s="64"/>
      <c r="D214" s="64"/>
      <c r="E214" s="64"/>
      <c r="F214" s="64"/>
      <c r="G214" s="64"/>
      <c r="H214" s="64"/>
      <c r="I214" s="64"/>
      <c r="J214" s="64"/>
      <c r="K214" s="64"/>
      <c r="L214" s="84"/>
    </row>
    <row r="215" spans="1:13">
      <c r="A215" s="80"/>
      <c r="B215" s="64"/>
      <c r="C215" s="64"/>
      <c r="D215" s="64"/>
      <c r="E215" s="64"/>
      <c r="F215" s="64"/>
      <c r="G215" s="64"/>
      <c r="H215" s="64"/>
      <c r="I215" s="64"/>
      <c r="J215" s="64"/>
      <c r="K215" s="64"/>
      <c r="L215" s="84"/>
    </row>
    <row r="216" spans="1:13">
      <c r="A216" s="80"/>
      <c r="B216" s="64"/>
      <c r="C216" s="64"/>
      <c r="D216" s="64"/>
      <c r="E216" s="64"/>
      <c r="F216" s="64"/>
      <c r="G216" s="64"/>
      <c r="H216" s="64"/>
      <c r="I216" s="64"/>
      <c r="J216" s="64"/>
      <c r="K216" s="64"/>
      <c r="L216" s="84"/>
    </row>
    <row r="217" spans="1:13">
      <c r="A217" s="80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84"/>
    </row>
    <row r="218" spans="1:13">
      <c r="A218" s="80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84"/>
    </row>
    <row r="219" spans="1:13" ht="16.2" thickBot="1">
      <c r="A219" s="73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94"/>
    </row>
    <row r="220" spans="1:13" ht="27.75" customHeight="1" thickBot="1">
      <c r="A220" s="321"/>
      <c r="B220" s="281"/>
      <c r="C220" s="281"/>
      <c r="D220" s="281"/>
      <c r="E220" s="281"/>
      <c r="F220" s="281"/>
      <c r="G220" s="281"/>
      <c r="H220" s="281"/>
      <c r="I220" s="281"/>
      <c r="J220" s="281"/>
      <c r="K220" s="281"/>
      <c r="L220" s="331"/>
    </row>
    <row r="221" spans="1:13" ht="31.5" customHeight="1">
      <c r="A221" s="299" t="s">
        <v>50</v>
      </c>
      <c r="B221" s="300"/>
      <c r="C221" s="300"/>
      <c r="D221" s="300"/>
      <c r="E221" s="300"/>
      <c r="F221" s="300"/>
      <c r="G221" s="300"/>
      <c r="H221" s="300"/>
      <c r="I221" s="300"/>
      <c r="J221" s="300"/>
      <c r="K221" s="300"/>
      <c r="L221" s="301"/>
    </row>
    <row r="222" spans="1:13" ht="31.2">
      <c r="A222" s="78" t="s">
        <v>16</v>
      </c>
      <c r="B222" s="67" t="s">
        <v>36</v>
      </c>
      <c r="C222" s="67" t="s">
        <v>37</v>
      </c>
      <c r="D222" s="67" t="s">
        <v>38</v>
      </c>
      <c r="E222" s="67" t="s">
        <v>39</v>
      </c>
      <c r="F222" s="67"/>
      <c r="G222" s="67" t="s">
        <v>40</v>
      </c>
      <c r="H222" s="67" t="s">
        <v>41</v>
      </c>
      <c r="I222" s="67" t="s">
        <v>42</v>
      </c>
      <c r="J222" s="48" t="s">
        <v>43</v>
      </c>
      <c r="K222" s="67" t="s">
        <v>53</v>
      </c>
      <c r="L222" s="79" t="s">
        <v>45</v>
      </c>
      <c r="M222" s="79" t="s">
        <v>470</v>
      </c>
    </row>
    <row r="223" spans="1:13">
      <c r="A223" s="80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84"/>
    </row>
    <row r="224" spans="1:13">
      <c r="A224" s="80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84"/>
    </row>
    <row r="225" spans="1:12">
      <c r="A225" s="80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84"/>
    </row>
    <row r="226" spans="1:12">
      <c r="A226" s="80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84"/>
    </row>
    <row r="227" spans="1:12">
      <c r="A227" s="80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84"/>
    </row>
    <row r="228" spans="1:12">
      <c r="A228" s="88"/>
      <c r="B228" s="90"/>
      <c r="C228" s="89"/>
      <c r="D228" s="89"/>
      <c r="E228" s="90"/>
      <c r="F228" s="90"/>
      <c r="G228" s="90"/>
      <c r="H228" s="90"/>
      <c r="I228" s="89"/>
      <c r="J228" s="89"/>
      <c r="K228" s="89"/>
      <c r="L228" s="91"/>
    </row>
    <row r="229" spans="1:12">
      <c r="A229" s="88"/>
      <c r="B229" s="90"/>
      <c r="C229" s="89"/>
      <c r="D229" s="89"/>
      <c r="E229" s="90"/>
      <c r="F229" s="90"/>
      <c r="G229" s="90"/>
      <c r="H229" s="90"/>
      <c r="I229" s="89"/>
      <c r="J229" s="89"/>
      <c r="K229" s="89"/>
      <c r="L229" s="91"/>
    </row>
    <row r="230" spans="1:12">
      <c r="A230" s="88"/>
      <c r="B230" s="90"/>
      <c r="C230" s="89"/>
      <c r="D230" s="89"/>
      <c r="E230" s="90"/>
      <c r="F230" s="90"/>
      <c r="G230" s="90"/>
      <c r="H230" s="90"/>
      <c r="I230" s="89"/>
      <c r="J230" s="89"/>
      <c r="K230" s="89"/>
      <c r="L230" s="91"/>
    </row>
    <row r="231" spans="1:12">
      <c r="A231" s="88"/>
      <c r="B231" s="90"/>
      <c r="C231" s="89"/>
      <c r="D231" s="89"/>
      <c r="E231" s="90"/>
      <c r="F231" s="90"/>
      <c r="G231" s="90"/>
      <c r="H231" s="90"/>
      <c r="I231" s="89"/>
      <c r="J231" s="89"/>
      <c r="K231" s="89"/>
      <c r="L231" s="91"/>
    </row>
    <row r="232" spans="1:12">
      <c r="A232" s="88"/>
      <c r="B232" s="90"/>
      <c r="C232" s="89"/>
      <c r="D232" s="89"/>
      <c r="E232" s="90"/>
      <c r="F232" s="90"/>
      <c r="G232" s="90"/>
      <c r="H232" s="90"/>
      <c r="I232" s="89"/>
      <c r="J232" s="89"/>
      <c r="K232" s="89"/>
      <c r="L232" s="91"/>
    </row>
    <row r="233" spans="1:12">
      <c r="A233" s="88"/>
      <c r="B233" s="90"/>
      <c r="C233" s="89"/>
      <c r="D233" s="89"/>
      <c r="E233" s="90"/>
      <c r="F233" s="90"/>
      <c r="G233" s="90"/>
      <c r="H233" s="90"/>
      <c r="I233" s="89"/>
      <c r="J233" s="89"/>
      <c r="K233" s="89"/>
      <c r="L233" s="91"/>
    </row>
    <row r="234" spans="1:12">
      <c r="A234" s="88"/>
      <c r="B234" s="90"/>
      <c r="C234" s="89"/>
      <c r="D234" s="89"/>
      <c r="E234" s="90"/>
      <c r="F234" s="90"/>
      <c r="G234" s="90"/>
      <c r="H234" s="90"/>
      <c r="I234" s="89"/>
      <c r="J234" s="89"/>
      <c r="K234" s="89"/>
      <c r="L234" s="91"/>
    </row>
    <row r="235" spans="1:12">
      <c r="A235" s="88"/>
      <c r="B235" s="90"/>
      <c r="C235" s="89"/>
      <c r="D235" s="89"/>
      <c r="E235" s="90"/>
      <c r="F235" s="90"/>
      <c r="G235" s="90"/>
      <c r="H235" s="90"/>
      <c r="I235" s="89"/>
      <c r="J235" s="89"/>
      <c r="K235" s="89"/>
      <c r="L235" s="91"/>
    </row>
    <row r="236" spans="1:12">
      <c r="A236" s="88"/>
      <c r="B236" s="90"/>
      <c r="C236" s="89"/>
      <c r="D236" s="89"/>
      <c r="E236" s="90"/>
      <c r="F236" s="90"/>
      <c r="G236" s="90"/>
      <c r="H236" s="90"/>
      <c r="I236" s="89"/>
      <c r="J236" s="89"/>
      <c r="K236" s="89"/>
      <c r="L236" s="91"/>
    </row>
    <row r="237" spans="1:12">
      <c r="A237" s="88"/>
      <c r="B237" s="90"/>
      <c r="C237" s="89"/>
      <c r="D237" s="89"/>
      <c r="E237" s="90"/>
      <c r="F237" s="90"/>
      <c r="G237" s="90"/>
      <c r="H237" s="90"/>
      <c r="I237" s="89"/>
      <c r="J237" s="89"/>
      <c r="K237" s="89"/>
      <c r="L237" s="91"/>
    </row>
    <row r="238" spans="1:12">
      <c r="A238" s="88"/>
      <c r="B238" s="90"/>
      <c r="C238" s="89"/>
      <c r="D238" s="89"/>
      <c r="E238" s="90"/>
      <c r="F238" s="90"/>
      <c r="G238" s="90"/>
      <c r="H238" s="90"/>
      <c r="I238" s="89"/>
      <c r="J238" s="89"/>
      <c r="K238" s="89"/>
      <c r="L238" s="91"/>
    </row>
    <row r="239" spans="1:12">
      <c r="A239" s="88"/>
      <c r="B239" s="90"/>
      <c r="C239" s="89"/>
      <c r="D239" s="89"/>
      <c r="E239" s="90"/>
      <c r="F239" s="90"/>
      <c r="G239" s="90"/>
      <c r="H239" s="90"/>
      <c r="I239" s="89"/>
      <c r="J239" s="89"/>
      <c r="K239" s="89"/>
      <c r="L239" s="91"/>
    </row>
    <row r="240" spans="1:12">
      <c r="A240" s="88"/>
      <c r="B240" s="90"/>
      <c r="C240" s="89"/>
      <c r="D240" s="89"/>
      <c r="E240" s="90"/>
      <c r="F240" s="90"/>
      <c r="G240" s="90"/>
      <c r="H240" s="90"/>
      <c r="I240" s="89"/>
      <c r="J240" s="89"/>
      <c r="K240" s="89"/>
      <c r="L240" s="91"/>
    </row>
    <row r="241" spans="1:12" ht="16.2" thickBot="1">
      <c r="A241" s="82"/>
      <c r="B241" s="92"/>
      <c r="C241" s="66"/>
      <c r="D241" s="66"/>
      <c r="E241" s="92"/>
      <c r="F241" s="92"/>
      <c r="G241" s="92"/>
      <c r="H241" s="92"/>
      <c r="I241" s="66"/>
      <c r="J241" s="66"/>
      <c r="K241" s="66"/>
      <c r="L241" s="93"/>
    </row>
    <row r="242" spans="1:12" ht="48" customHeight="1">
      <c r="A242" s="281"/>
      <c r="B242" s="281"/>
      <c r="C242" s="281"/>
      <c r="D242" s="281"/>
      <c r="E242" s="281"/>
      <c r="F242" s="281"/>
      <c r="G242" s="281"/>
      <c r="H242" s="281"/>
      <c r="I242" s="281"/>
      <c r="J242" s="281"/>
      <c r="K242" s="281"/>
      <c r="L242" s="281"/>
    </row>
    <row r="243" spans="1:12" s="95" customFormat="1" ht="33.75" customHeight="1">
      <c r="A243" s="203" t="s">
        <v>54</v>
      </c>
      <c r="B243" s="203"/>
      <c r="C243" s="203"/>
      <c r="D243" s="203"/>
      <c r="E243" s="203"/>
      <c r="F243" s="203"/>
      <c r="G243" s="203"/>
      <c r="H243" s="203"/>
      <c r="I243" s="203"/>
      <c r="J243" s="203"/>
      <c r="K243" s="203"/>
      <c r="L243" s="203"/>
    </row>
    <row r="244" spans="1:12" ht="15.75" customHeight="1">
      <c r="L244" s="77"/>
    </row>
    <row r="245" spans="1:12" ht="15.75" customHeight="1">
      <c r="A245" s="303" t="s">
        <v>55</v>
      </c>
      <c r="B245" s="304"/>
      <c r="C245" s="64"/>
      <c r="D245" s="47" t="s">
        <v>56</v>
      </c>
      <c r="H245" s="47" t="s">
        <v>57</v>
      </c>
      <c r="I245" s="311"/>
      <c r="J245" s="311"/>
      <c r="K245" s="47" t="s">
        <v>56</v>
      </c>
      <c r="L245" s="77"/>
    </row>
    <row r="246" spans="1:12" ht="15.75" customHeight="1">
      <c r="L246" s="77"/>
    </row>
    <row r="247" spans="1:12" ht="15.75" customHeight="1">
      <c r="A247" s="305" t="s">
        <v>58</v>
      </c>
      <c r="B247" s="305"/>
      <c r="C247" s="64"/>
      <c r="H247" s="305" t="s">
        <v>59</v>
      </c>
      <c r="I247" s="305"/>
      <c r="J247" s="311"/>
      <c r="K247" s="311"/>
      <c r="L247" s="311"/>
    </row>
    <row r="248" spans="1:12" ht="15.75" customHeight="1">
      <c r="L248" s="77"/>
    </row>
    <row r="249" spans="1:12" ht="15.75" customHeight="1">
      <c r="L249" s="77"/>
    </row>
    <row r="250" spans="1:12" ht="15.75" customHeight="1">
      <c r="A250" s="305" t="s">
        <v>60</v>
      </c>
      <c r="B250" s="305"/>
      <c r="C250" s="64"/>
      <c r="H250" s="77" t="s">
        <v>275</v>
      </c>
      <c r="I250" s="77">
        <v>24</v>
      </c>
      <c r="K250" s="77">
        <f>I251-I250</f>
        <v>11</v>
      </c>
      <c r="L250" s="103">
        <v>0.4</v>
      </c>
    </row>
    <row r="251" spans="1:12" ht="15.75" customHeight="1">
      <c r="A251" s="305" t="s">
        <v>61</v>
      </c>
      <c r="B251" s="305"/>
      <c r="C251" s="64"/>
      <c r="H251" s="77" t="s">
        <v>276</v>
      </c>
      <c r="I251" s="77">
        <v>35</v>
      </c>
      <c r="K251" s="77">
        <f>I252-I250</f>
        <v>6</v>
      </c>
      <c r="L251" s="103">
        <f>L250</f>
        <v>0.4</v>
      </c>
    </row>
    <row r="252" spans="1:12" ht="15.75" customHeight="1">
      <c r="A252" s="305" t="s">
        <v>62</v>
      </c>
      <c r="B252" s="305"/>
      <c r="C252" s="64"/>
      <c r="H252" s="77" t="s">
        <v>277</v>
      </c>
      <c r="I252" s="77">
        <v>30</v>
      </c>
      <c r="K252" s="104">
        <f>(K250-K251)/K250</f>
        <v>0.45454545454545453</v>
      </c>
      <c r="L252" s="77"/>
    </row>
    <row r="253" spans="1:12" ht="15.75" customHeight="1">
      <c r="B253" s="77" t="s">
        <v>493</v>
      </c>
      <c r="L253" s="77"/>
    </row>
    <row r="254" spans="1:12" ht="15.75" customHeight="1">
      <c r="B254" s="77" t="s">
        <v>494</v>
      </c>
      <c r="L254" s="77"/>
    </row>
    <row r="255" spans="1:12" ht="15.75" customHeight="1">
      <c r="B255" s="77" t="s">
        <v>495</v>
      </c>
      <c r="L255" s="77"/>
    </row>
    <row r="256" spans="1:12" ht="15.75" customHeight="1">
      <c r="B256" s="77" t="s">
        <v>497</v>
      </c>
      <c r="L256" s="77"/>
    </row>
    <row r="257" spans="1:12" ht="15.75" customHeight="1" thickBot="1">
      <c r="B257" s="77" t="s">
        <v>496</v>
      </c>
      <c r="L257" s="77"/>
    </row>
    <row r="258" spans="1:12" ht="33.75" customHeight="1" thickBot="1">
      <c r="A258" s="333" t="s">
        <v>63</v>
      </c>
      <c r="B258" s="334"/>
      <c r="C258" s="334"/>
      <c r="D258" s="334"/>
      <c r="E258" s="334"/>
      <c r="F258" s="334"/>
      <c r="G258" s="334"/>
      <c r="H258" s="334"/>
      <c r="I258" s="334"/>
      <c r="J258" s="334"/>
      <c r="K258" s="334"/>
      <c r="L258" s="335"/>
    </row>
    <row r="259" spans="1:12">
      <c r="A259" s="223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332"/>
    </row>
    <row r="260" spans="1:12">
      <c r="A260" s="321"/>
      <c r="B260" s="281"/>
      <c r="C260" s="281"/>
      <c r="D260" s="281"/>
      <c r="E260" s="281"/>
      <c r="F260" s="281"/>
      <c r="G260" s="281"/>
      <c r="H260" s="281"/>
      <c r="I260" s="281"/>
      <c r="J260" s="281"/>
      <c r="K260" s="281"/>
      <c r="L260" s="331"/>
    </row>
    <row r="261" spans="1:12">
      <c r="A261" s="274" t="s">
        <v>64</v>
      </c>
      <c r="B261" s="274"/>
      <c r="C261" s="274"/>
      <c r="D261" s="274"/>
      <c r="E261" s="274"/>
      <c r="F261" s="150"/>
      <c r="G261" s="96"/>
      <c r="H261" s="274" t="s">
        <v>65</v>
      </c>
      <c r="I261" s="274"/>
      <c r="J261" s="274"/>
      <c r="K261" s="274"/>
      <c r="L261" s="274"/>
    </row>
    <row r="262" spans="1:12">
      <c r="A262" s="269"/>
      <c r="B262" s="269"/>
      <c r="C262" s="269"/>
      <c r="D262" s="269"/>
      <c r="E262" s="269"/>
      <c r="F262" s="145"/>
      <c r="H262" s="269" t="s">
        <v>35</v>
      </c>
      <c r="I262" s="269"/>
      <c r="J262" s="269"/>
      <c r="K262" s="269"/>
      <c r="L262" s="269"/>
    </row>
    <row r="263" spans="1:12">
      <c r="A263" s="330"/>
      <c r="B263" s="304"/>
      <c r="C263" s="47" t="s">
        <v>66</v>
      </c>
      <c r="D263" s="47" t="s">
        <v>67</v>
      </c>
      <c r="E263" s="47" t="s">
        <v>68</v>
      </c>
      <c r="F263" s="151"/>
      <c r="H263" s="47"/>
      <c r="I263" s="47" t="s">
        <v>69</v>
      </c>
      <c r="J263" s="47" t="s">
        <v>70</v>
      </c>
      <c r="K263" s="47" t="s">
        <v>26</v>
      </c>
      <c r="L263" s="47" t="s">
        <v>68</v>
      </c>
    </row>
    <row r="264" spans="1:12">
      <c r="A264" s="268" t="s">
        <v>71</v>
      </c>
      <c r="B264" s="268"/>
      <c r="C264" s="98"/>
      <c r="D264" s="98"/>
      <c r="E264" s="98"/>
      <c r="F264" s="152"/>
      <c r="H264" s="97" t="s">
        <v>72</v>
      </c>
      <c r="I264" s="99"/>
      <c r="J264" s="64"/>
      <c r="K264" s="83"/>
      <c r="L264" s="83"/>
    </row>
    <row r="265" spans="1:12">
      <c r="A265" s="268" t="s">
        <v>73</v>
      </c>
      <c r="B265" s="268"/>
      <c r="C265" s="100"/>
      <c r="D265" s="99"/>
      <c r="E265" s="99"/>
      <c r="F265" s="153"/>
      <c r="H265" s="97" t="s">
        <v>74</v>
      </c>
      <c r="I265" s="99"/>
      <c r="J265" s="64"/>
      <c r="K265" s="83"/>
      <c r="L265" s="83"/>
    </row>
    <row r="266" spans="1:12">
      <c r="A266" s="268" t="s">
        <v>74</v>
      </c>
      <c r="B266" s="268"/>
      <c r="C266" s="64"/>
      <c r="D266" s="83"/>
      <c r="E266" s="83"/>
      <c r="F266" s="62"/>
      <c r="H266" s="97" t="s">
        <v>75</v>
      </c>
      <c r="I266" s="99"/>
      <c r="J266" s="64"/>
      <c r="K266" s="83"/>
      <c r="L266" s="83"/>
    </row>
    <row r="267" spans="1:12">
      <c r="A267" s="268" t="s">
        <v>75</v>
      </c>
      <c r="B267" s="268"/>
      <c r="C267" s="64"/>
      <c r="D267" s="83"/>
      <c r="E267" s="83"/>
      <c r="F267" s="62"/>
      <c r="H267" s="97" t="s">
        <v>76</v>
      </c>
      <c r="I267" s="99"/>
      <c r="J267" s="64"/>
      <c r="K267" s="83"/>
      <c r="L267" s="83"/>
    </row>
    <row r="268" spans="1:12">
      <c r="A268" s="268" t="s">
        <v>76</v>
      </c>
      <c r="B268" s="268"/>
      <c r="C268" s="64"/>
      <c r="D268" s="83"/>
      <c r="E268" s="83"/>
      <c r="F268" s="62"/>
      <c r="H268" s="97" t="s">
        <v>77</v>
      </c>
      <c r="I268" s="99"/>
      <c r="J268" s="64"/>
      <c r="K268" s="83"/>
      <c r="L268" s="83"/>
    </row>
    <row r="269" spans="1:12">
      <c r="A269" s="268" t="s">
        <v>77</v>
      </c>
      <c r="B269" s="268"/>
      <c r="C269" s="64"/>
      <c r="D269" s="83"/>
      <c r="E269" s="83"/>
      <c r="F269" s="62"/>
      <c r="H269" s="97" t="s">
        <v>78</v>
      </c>
      <c r="I269" s="99"/>
      <c r="J269" s="64"/>
      <c r="K269" s="83"/>
      <c r="L269" s="83"/>
    </row>
    <row r="270" spans="1:12">
      <c r="A270" s="268" t="s">
        <v>78</v>
      </c>
      <c r="B270" s="268"/>
      <c r="C270" s="64"/>
      <c r="D270" s="83"/>
      <c r="E270" s="83"/>
      <c r="F270" s="62"/>
      <c r="H270" s="97" t="s">
        <v>79</v>
      </c>
      <c r="I270" s="99"/>
      <c r="J270" s="64"/>
      <c r="K270" s="83"/>
      <c r="L270" s="83"/>
    </row>
    <row r="271" spans="1:12">
      <c r="A271" s="268" t="s">
        <v>80</v>
      </c>
      <c r="B271" s="268"/>
      <c r="C271" s="64"/>
      <c r="D271" s="83"/>
      <c r="E271" s="83"/>
      <c r="F271" s="62"/>
    </row>
    <row r="272" spans="1:12">
      <c r="A272" s="281"/>
      <c r="B272" s="281"/>
      <c r="C272" s="281"/>
      <c r="D272" s="281"/>
      <c r="E272" s="281"/>
      <c r="H272" s="62"/>
      <c r="I272" s="62"/>
      <c r="J272" s="62"/>
      <c r="K272" s="62"/>
    </row>
    <row r="273" spans="1:12">
      <c r="A273" s="62"/>
      <c r="B273" s="62"/>
      <c r="C273" s="62"/>
      <c r="D273" s="62"/>
      <c r="E273" s="62"/>
      <c r="F273" s="62"/>
      <c r="H273" s="269" t="s">
        <v>50</v>
      </c>
      <c r="I273" s="269"/>
      <c r="J273" s="269"/>
      <c r="K273" s="269"/>
      <c r="L273" s="269"/>
    </row>
    <row r="274" spans="1:12">
      <c r="A274" s="62"/>
      <c r="B274" s="62"/>
      <c r="C274" s="62"/>
      <c r="D274" s="62"/>
      <c r="E274" s="62"/>
      <c r="F274" s="62"/>
      <c r="H274" s="47"/>
      <c r="I274" s="47" t="s">
        <v>69</v>
      </c>
      <c r="J274" s="47" t="s">
        <v>70</v>
      </c>
      <c r="K274" s="47" t="s">
        <v>26</v>
      </c>
      <c r="L274" s="47" t="s">
        <v>68</v>
      </c>
    </row>
    <row r="275" spans="1:12">
      <c r="A275" s="62"/>
      <c r="B275" s="62"/>
      <c r="C275" s="62"/>
      <c r="D275" s="62"/>
      <c r="E275" s="62"/>
      <c r="F275" s="62"/>
      <c r="H275" s="97" t="s">
        <v>72</v>
      </c>
      <c r="I275" s="99"/>
      <c r="J275" s="64"/>
      <c r="K275" s="83"/>
      <c r="L275" s="83"/>
    </row>
    <row r="276" spans="1:12">
      <c r="A276" s="62"/>
      <c r="B276" s="62"/>
      <c r="C276" s="62"/>
      <c r="D276" s="62"/>
      <c r="E276" s="62"/>
      <c r="F276" s="62"/>
      <c r="H276" s="97" t="s">
        <v>74</v>
      </c>
      <c r="I276" s="99"/>
      <c r="J276" s="64"/>
      <c r="K276" s="83"/>
      <c r="L276" s="83"/>
    </row>
    <row r="277" spans="1:12">
      <c r="A277" s="62"/>
      <c r="B277" s="62"/>
      <c r="C277" s="62"/>
      <c r="D277" s="62"/>
      <c r="E277" s="62"/>
      <c r="F277" s="62"/>
      <c r="H277" s="97" t="s">
        <v>75</v>
      </c>
      <c r="I277" s="99"/>
      <c r="J277" s="64"/>
      <c r="K277" s="83"/>
      <c r="L277" s="83"/>
    </row>
    <row r="278" spans="1:12">
      <c r="A278" s="62"/>
      <c r="B278" s="62"/>
      <c r="C278" s="62"/>
      <c r="D278" s="62"/>
      <c r="E278" s="62"/>
      <c r="F278" s="62"/>
      <c r="H278" s="97" t="s">
        <v>76</v>
      </c>
      <c r="I278" s="99"/>
      <c r="J278" s="64"/>
      <c r="K278" s="83"/>
      <c r="L278" s="83"/>
    </row>
    <row r="279" spans="1:12">
      <c r="A279" s="62"/>
      <c r="B279" s="62"/>
      <c r="C279" s="62"/>
      <c r="D279" s="62"/>
      <c r="E279" s="62"/>
      <c r="F279" s="62"/>
      <c r="H279" s="97" t="s">
        <v>77</v>
      </c>
      <c r="I279" s="99"/>
      <c r="J279" s="64"/>
      <c r="K279" s="83"/>
      <c r="L279" s="83"/>
    </row>
    <row r="280" spans="1:12">
      <c r="A280" s="62"/>
      <c r="B280" s="62"/>
      <c r="C280" s="62"/>
      <c r="D280" s="62"/>
      <c r="E280" s="62"/>
      <c r="F280" s="62"/>
      <c r="H280" s="97" t="s">
        <v>78</v>
      </c>
      <c r="I280" s="99"/>
      <c r="J280" s="64"/>
      <c r="K280" s="83"/>
      <c r="L280" s="83"/>
    </row>
    <row r="281" spans="1:12">
      <c r="A281" s="62"/>
      <c r="B281" s="62"/>
      <c r="C281" s="62"/>
      <c r="D281" s="62"/>
      <c r="E281" s="62"/>
      <c r="F281" s="62"/>
      <c r="H281" s="97" t="s">
        <v>79</v>
      </c>
      <c r="I281" s="64"/>
      <c r="J281" s="64"/>
      <c r="K281" s="64"/>
      <c r="L281" s="83"/>
    </row>
    <row r="282" spans="1:12">
      <c r="A282" s="62"/>
      <c r="B282" s="62"/>
      <c r="C282" s="62"/>
      <c r="D282" s="62"/>
      <c r="E282" s="62"/>
      <c r="F282" s="62"/>
    </row>
    <row r="283" spans="1:12">
      <c r="A283" s="62"/>
      <c r="B283" s="62"/>
      <c r="C283" s="62"/>
      <c r="D283" s="62"/>
      <c r="E283" s="62"/>
      <c r="F283" s="62"/>
      <c r="H283" s="269" t="s">
        <v>68</v>
      </c>
      <c r="I283" s="269"/>
      <c r="J283" s="269"/>
      <c r="K283" s="269"/>
      <c r="L283" s="269"/>
    </row>
    <row r="284" spans="1:12">
      <c r="A284" s="62"/>
      <c r="B284" s="62"/>
      <c r="C284" s="62"/>
      <c r="D284" s="62"/>
      <c r="E284" s="62"/>
      <c r="F284" s="62"/>
      <c r="H284" s="47"/>
      <c r="I284" s="47" t="s">
        <v>69</v>
      </c>
      <c r="J284" s="47" t="s">
        <v>70</v>
      </c>
      <c r="K284" s="47" t="s">
        <v>26</v>
      </c>
      <c r="L284" s="47" t="s">
        <v>68</v>
      </c>
    </row>
    <row r="285" spans="1:12">
      <c r="A285" s="62"/>
      <c r="B285" s="62"/>
      <c r="C285" s="62"/>
      <c r="D285" s="62"/>
      <c r="E285" s="62"/>
      <c r="F285" s="62"/>
      <c r="H285" s="97" t="s">
        <v>72</v>
      </c>
      <c r="I285" s="99"/>
      <c r="J285" s="64"/>
      <c r="K285" s="83"/>
      <c r="L285" s="83"/>
    </row>
    <row r="286" spans="1:12">
      <c r="A286" s="62"/>
      <c r="B286" s="62"/>
      <c r="C286" s="62"/>
      <c r="D286" s="62"/>
      <c r="E286" s="62"/>
      <c r="F286" s="62"/>
      <c r="H286" s="97" t="s">
        <v>74</v>
      </c>
      <c r="I286" s="99"/>
      <c r="J286" s="64"/>
      <c r="K286" s="83"/>
      <c r="L286" s="83"/>
    </row>
    <row r="287" spans="1:12">
      <c r="A287" s="62"/>
      <c r="B287" s="62"/>
      <c r="C287" s="62"/>
      <c r="D287" s="62"/>
      <c r="E287" s="62"/>
      <c r="F287" s="62"/>
      <c r="H287" s="97" t="s">
        <v>75</v>
      </c>
      <c r="I287" s="99"/>
      <c r="J287" s="64"/>
      <c r="K287" s="83"/>
      <c r="L287" s="83"/>
    </row>
    <row r="288" spans="1:12">
      <c r="A288" s="62"/>
      <c r="B288" s="62"/>
      <c r="C288" s="62"/>
      <c r="D288" s="62"/>
      <c r="E288" s="62"/>
      <c r="F288" s="62"/>
      <c r="H288" s="97" t="s">
        <v>76</v>
      </c>
      <c r="I288" s="99"/>
      <c r="J288" s="64"/>
      <c r="K288" s="83"/>
      <c r="L288" s="83"/>
    </row>
    <row r="289" spans="1:12">
      <c r="A289" s="62"/>
      <c r="B289" s="62"/>
      <c r="C289" s="62"/>
      <c r="D289" s="62"/>
      <c r="E289" s="62"/>
      <c r="F289" s="62"/>
      <c r="H289" s="97" t="s">
        <v>77</v>
      </c>
      <c r="I289" s="99"/>
      <c r="J289" s="64"/>
      <c r="K289" s="83"/>
      <c r="L289" s="83"/>
    </row>
    <row r="290" spans="1:12">
      <c r="A290" s="62"/>
      <c r="B290" s="62"/>
      <c r="C290" s="62"/>
      <c r="D290" s="62"/>
      <c r="E290" s="62"/>
      <c r="F290" s="62"/>
      <c r="H290" s="97" t="s">
        <v>78</v>
      </c>
      <c r="I290" s="99"/>
      <c r="J290" s="64"/>
      <c r="K290" s="83"/>
      <c r="L290" s="83"/>
    </row>
    <row r="291" spans="1:12">
      <c r="A291" s="62"/>
      <c r="H291" s="97" t="s">
        <v>79</v>
      </c>
      <c r="I291" s="64"/>
      <c r="J291" s="64"/>
      <c r="K291" s="64"/>
      <c r="L291" s="83"/>
    </row>
    <row r="292" spans="1:12">
      <c r="A292" s="62"/>
      <c r="H292" s="62"/>
      <c r="I292" s="62"/>
      <c r="J292" s="62"/>
      <c r="K292" s="62"/>
      <c r="L292" s="101"/>
    </row>
    <row r="293" spans="1:12" ht="15.75" customHeight="1" thickBot="1">
      <c r="L293" s="77"/>
    </row>
    <row r="294" spans="1:12" ht="33.75" customHeight="1" thickBot="1">
      <c r="A294" s="323" t="s">
        <v>81</v>
      </c>
      <c r="B294" s="324"/>
      <c r="C294" s="324"/>
      <c r="D294" s="324"/>
      <c r="E294" s="324"/>
      <c r="F294" s="324"/>
      <c r="G294" s="324"/>
      <c r="H294" s="324"/>
      <c r="I294" s="324"/>
      <c r="J294" s="324"/>
      <c r="K294" s="324"/>
      <c r="L294" s="325"/>
    </row>
    <row r="295" spans="1:12" ht="15.75" customHeight="1">
      <c r="L295" s="77"/>
    </row>
    <row r="296" spans="1:12" ht="15.75" customHeight="1">
      <c r="A296" s="305" t="s">
        <v>58</v>
      </c>
      <c r="B296" s="305"/>
      <c r="C296" s="64"/>
      <c r="H296" s="305" t="s">
        <v>59</v>
      </c>
      <c r="I296" s="305"/>
      <c r="J296" s="311"/>
      <c r="K296" s="311"/>
      <c r="L296" s="311"/>
    </row>
    <row r="297" spans="1:12" ht="15.75" customHeight="1">
      <c r="L297" s="77"/>
    </row>
    <row r="298" spans="1:12" ht="16.2" thickBot="1">
      <c r="A298" s="62"/>
      <c r="H298" s="62"/>
      <c r="I298" s="62"/>
      <c r="J298" s="62"/>
      <c r="K298" s="62"/>
      <c r="L298" s="101"/>
    </row>
    <row r="299" spans="1:12" ht="31.5" customHeight="1" thickBot="1">
      <c r="A299" s="270" t="s">
        <v>82</v>
      </c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2"/>
    </row>
    <row r="300" spans="1:12">
      <c r="A300" s="75"/>
      <c r="B300" s="76"/>
      <c r="C300" s="76"/>
      <c r="D300" s="76"/>
      <c r="E300" s="76"/>
      <c r="F300" s="76"/>
      <c r="G300" s="76"/>
    </row>
    <row r="301" spans="1:12">
      <c r="A301" s="274" t="s">
        <v>64</v>
      </c>
      <c r="B301" s="274"/>
      <c r="C301" s="274"/>
      <c r="D301" s="274"/>
      <c r="E301" s="274"/>
      <c r="F301" s="150"/>
      <c r="H301" s="329" t="s">
        <v>65</v>
      </c>
      <c r="I301" s="329"/>
      <c r="J301" s="329"/>
      <c r="K301" s="329"/>
    </row>
    <row r="302" spans="1:12">
      <c r="A302" s="269"/>
      <c r="B302" s="269"/>
      <c r="C302" s="269"/>
      <c r="D302" s="269"/>
      <c r="E302" s="269"/>
      <c r="F302" s="145"/>
      <c r="G302" s="62"/>
      <c r="H302" s="326"/>
      <c r="I302" s="327"/>
      <c r="J302" s="327"/>
      <c r="K302" s="328"/>
    </row>
    <row r="303" spans="1:12">
      <c r="A303" s="305"/>
      <c r="B303" s="305"/>
      <c r="C303" s="47" t="s">
        <v>66</v>
      </c>
      <c r="D303" s="47" t="s">
        <v>67</v>
      </c>
      <c r="E303" s="47" t="s">
        <v>68</v>
      </c>
      <c r="F303" s="151"/>
      <c r="G303" s="62"/>
      <c r="H303" s="47"/>
      <c r="I303" s="47" t="s">
        <v>66</v>
      </c>
      <c r="J303" s="47" t="s">
        <v>67</v>
      </c>
      <c r="K303" s="47" t="s">
        <v>68</v>
      </c>
    </row>
    <row r="304" spans="1:12">
      <c r="A304" s="268" t="s">
        <v>71</v>
      </c>
      <c r="B304" s="268"/>
      <c r="C304" s="98"/>
      <c r="D304" s="98"/>
      <c r="E304" s="98"/>
      <c r="F304" s="152"/>
      <c r="G304" s="62"/>
      <c r="H304" s="97" t="s">
        <v>72</v>
      </c>
      <c r="I304" s="99"/>
      <c r="J304" s="64"/>
      <c r="K304" s="83"/>
    </row>
    <row r="305" spans="1:12">
      <c r="A305" s="268" t="s">
        <v>83</v>
      </c>
      <c r="B305" s="268"/>
      <c r="C305" s="100"/>
      <c r="D305" s="99"/>
      <c r="E305" s="99"/>
      <c r="F305" s="153"/>
      <c r="G305" s="62"/>
      <c r="H305" s="97" t="s">
        <v>74</v>
      </c>
      <c r="I305" s="99"/>
      <c r="J305" s="64"/>
      <c r="K305" s="83"/>
    </row>
    <row r="306" spans="1:12">
      <c r="A306" s="268" t="s">
        <v>74</v>
      </c>
      <c r="B306" s="268"/>
      <c r="C306" s="64"/>
      <c r="D306" s="83"/>
      <c r="E306" s="83"/>
      <c r="F306" s="62"/>
      <c r="G306" s="62"/>
      <c r="H306" s="97" t="s">
        <v>76</v>
      </c>
      <c r="I306" s="99"/>
      <c r="J306" s="64"/>
      <c r="K306" s="83"/>
    </row>
    <row r="307" spans="1:12">
      <c r="A307" s="268" t="s">
        <v>75</v>
      </c>
      <c r="B307" s="268"/>
      <c r="C307" s="64"/>
      <c r="D307" s="83"/>
      <c r="E307" s="83"/>
      <c r="F307" s="62"/>
      <c r="G307" s="62"/>
      <c r="H307" s="97" t="s">
        <v>77</v>
      </c>
      <c r="I307" s="99"/>
      <c r="J307" s="64"/>
      <c r="K307" s="83"/>
    </row>
    <row r="308" spans="1:12">
      <c r="A308" s="268" t="s">
        <v>76</v>
      </c>
      <c r="B308" s="268"/>
      <c r="C308" s="64"/>
      <c r="D308" s="83"/>
      <c r="E308" s="83"/>
      <c r="F308" s="62"/>
      <c r="G308" s="62"/>
      <c r="H308" s="97" t="s">
        <v>78</v>
      </c>
      <c r="I308" s="99"/>
      <c r="J308" s="64"/>
      <c r="K308" s="83"/>
    </row>
    <row r="309" spans="1:12">
      <c r="A309" s="268" t="s">
        <v>77</v>
      </c>
      <c r="B309" s="268"/>
      <c r="C309" s="64"/>
      <c r="D309" s="83"/>
      <c r="E309" s="83"/>
      <c r="F309" s="62"/>
      <c r="G309" s="62"/>
      <c r="H309" s="97" t="s">
        <v>79</v>
      </c>
      <c r="I309" s="99"/>
      <c r="J309" s="64"/>
      <c r="K309" s="83"/>
    </row>
    <row r="310" spans="1:12">
      <c r="A310" s="268" t="s">
        <v>78</v>
      </c>
      <c r="B310" s="268"/>
      <c r="C310" s="64"/>
      <c r="D310" s="83"/>
      <c r="E310" s="83"/>
      <c r="F310" s="62"/>
      <c r="G310" s="62"/>
    </row>
    <row r="311" spans="1:12">
      <c r="A311" s="268" t="s">
        <v>80</v>
      </c>
      <c r="B311" s="268"/>
      <c r="C311" s="64"/>
      <c r="D311" s="83"/>
      <c r="E311" s="83"/>
      <c r="F311" s="62"/>
      <c r="G311" s="62"/>
      <c r="H311" s="62"/>
      <c r="I311" s="62"/>
      <c r="J311" s="62"/>
      <c r="K311" s="62"/>
    </row>
    <row r="312" spans="1:12">
      <c r="A312" s="268" t="s">
        <v>84</v>
      </c>
      <c r="B312" s="268"/>
      <c r="C312" s="83"/>
      <c r="D312" s="83"/>
      <c r="E312" s="83"/>
      <c r="F312" s="62"/>
      <c r="G312" s="62"/>
    </row>
    <row r="313" spans="1:12">
      <c r="A313" s="62"/>
      <c r="B313" s="62"/>
      <c r="C313" s="62"/>
      <c r="D313" s="62"/>
      <c r="E313" s="62"/>
      <c r="F313" s="62"/>
      <c r="G313" s="62"/>
    </row>
    <row r="314" spans="1:12" ht="16.2" thickBot="1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</row>
    <row r="315" spans="1:12" ht="31.5" customHeight="1">
      <c r="A315" s="270" t="s">
        <v>85</v>
      </c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2"/>
    </row>
    <row r="316" spans="1:12">
      <c r="A316" s="62"/>
      <c r="B316" s="62"/>
      <c r="C316" s="62"/>
      <c r="D316" s="62"/>
      <c r="E316" s="62"/>
      <c r="F316" s="62"/>
      <c r="G316" s="62"/>
      <c r="H316" s="62"/>
      <c r="I316" s="62"/>
      <c r="J316" s="62"/>
      <c r="K316" s="62"/>
    </row>
    <row r="317" spans="1:12">
      <c r="A317" s="62"/>
      <c r="B317" s="62"/>
      <c r="C317" s="62"/>
      <c r="D317" s="62"/>
      <c r="E317" s="62"/>
      <c r="F317" s="62"/>
      <c r="G317" s="62"/>
      <c r="H317" s="62"/>
      <c r="I317" s="62"/>
      <c r="J317" s="62"/>
      <c r="K317" s="62"/>
    </row>
    <row r="318" spans="1:12">
      <c r="A318" s="274" t="s">
        <v>65</v>
      </c>
      <c r="B318" s="274"/>
      <c r="C318" s="274"/>
      <c r="D318" s="62"/>
      <c r="E318" s="62"/>
      <c r="F318" s="62"/>
      <c r="G318" s="62"/>
      <c r="H318" s="62"/>
      <c r="I318" s="62"/>
      <c r="J318" s="62"/>
      <c r="K318" s="62"/>
    </row>
    <row r="319" spans="1:12">
      <c r="A319" s="269"/>
      <c r="B319" s="269"/>
      <c r="C319" s="269"/>
      <c r="D319" s="62"/>
      <c r="E319" s="62"/>
      <c r="F319" s="62"/>
      <c r="G319" s="62"/>
      <c r="H319" s="62"/>
      <c r="I319" s="62"/>
      <c r="J319" s="62"/>
      <c r="K319" s="62"/>
    </row>
    <row r="320" spans="1:12">
      <c r="A320" s="273"/>
      <c r="B320" s="273"/>
      <c r="C320" s="47" t="s">
        <v>68</v>
      </c>
      <c r="D320" s="62"/>
      <c r="E320" s="62"/>
      <c r="F320" s="62"/>
      <c r="G320" s="62"/>
      <c r="H320" s="62"/>
      <c r="I320" s="62"/>
      <c r="J320" s="62"/>
      <c r="K320" s="62"/>
    </row>
    <row r="321" spans="1:11">
      <c r="A321" s="267" t="s">
        <v>72</v>
      </c>
      <c r="B321" s="267"/>
      <c r="C321" s="102"/>
      <c r="D321" s="62"/>
      <c r="E321" s="62"/>
      <c r="F321" s="62"/>
      <c r="G321" s="62"/>
      <c r="H321" s="62"/>
      <c r="I321" s="62"/>
      <c r="J321" s="62"/>
      <c r="K321" s="62"/>
    </row>
    <row r="322" spans="1:11" ht="24" customHeight="1">
      <c r="A322" s="267" t="s">
        <v>77</v>
      </c>
      <c r="B322" s="267"/>
      <c r="C322" s="102"/>
      <c r="D322" s="62"/>
      <c r="E322" s="62"/>
      <c r="F322" s="62"/>
      <c r="G322" s="62"/>
      <c r="H322" s="62"/>
      <c r="I322" s="62"/>
      <c r="J322" s="62"/>
      <c r="K322" s="62"/>
    </row>
    <row r="323" spans="1:11">
      <c r="A323" s="267" t="s">
        <v>78</v>
      </c>
      <c r="B323" s="267"/>
      <c r="C323" s="102"/>
      <c r="D323" s="62"/>
    </row>
    <row r="324" spans="1:11">
      <c r="A324" s="267" t="s">
        <v>79</v>
      </c>
      <c r="B324" s="267"/>
      <c r="C324" s="102"/>
      <c r="D324" s="62"/>
    </row>
  </sheetData>
  <dataConsolidate/>
  <mergeCells count="153">
    <mergeCell ref="H283:L283"/>
    <mergeCell ref="A264:B264"/>
    <mergeCell ref="A271:B271"/>
    <mergeCell ref="A263:B263"/>
    <mergeCell ref="A200:C200"/>
    <mergeCell ref="A220:L220"/>
    <mergeCell ref="A259:L260"/>
    <mergeCell ref="A242:L242"/>
    <mergeCell ref="A258:L258"/>
    <mergeCell ref="A243:L243"/>
    <mergeCell ref="A247:B247"/>
    <mergeCell ref="A250:B250"/>
    <mergeCell ref="A251:B251"/>
    <mergeCell ref="A299:L299"/>
    <mergeCell ref="A294:L294"/>
    <mergeCell ref="A301:E301"/>
    <mergeCell ref="A308:B308"/>
    <mergeCell ref="A303:B303"/>
    <mergeCell ref="H302:K302"/>
    <mergeCell ref="H301:K301"/>
    <mergeCell ref="A296:B296"/>
    <mergeCell ref="H296:I296"/>
    <mergeCell ref="J296:L296"/>
    <mergeCell ref="A252:B252"/>
    <mergeCell ref="H247:I247"/>
    <mergeCell ref="J247:L247"/>
    <mergeCell ref="H261:L261"/>
    <mergeCell ref="A201:L201"/>
    <mergeCell ref="H262:L262"/>
    <mergeCell ref="I245:J245"/>
    <mergeCell ref="A202:L202"/>
    <mergeCell ref="E1:G1"/>
    <mergeCell ref="E2:G2"/>
    <mergeCell ref="A13:L13"/>
    <mergeCell ref="K10:L10"/>
    <mergeCell ref="A7:B7"/>
    <mergeCell ref="D7:E7"/>
    <mergeCell ref="A27:M27"/>
    <mergeCell ref="H28:M28"/>
    <mergeCell ref="A38:M38"/>
    <mergeCell ref="A39:M40"/>
    <mergeCell ref="A41:M41"/>
    <mergeCell ref="A42:M42"/>
    <mergeCell ref="A45:M45"/>
    <mergeCell ref="D43:F43"/>
    <mergeCell ref="K43:M43"/>
    <mergeCell ref="A44:M44"/>
    <mergeCell ref="A46:M46"/>
    <mergeCell ref="A47:D47"/>
    <mergeCell ref="E47:H47"/>
    <mergeCell ref="I47:M47"/>
    <mergeCell ref="A245:B245"/>
    <mergeCell ref="D10:E10"/>
    <mergeCell ref="A319:C319"/>
    <mergeCell ref="H273:L273"/>
    <mergeCell ref="G7:H7"/>
    <mergeCell ref="H10:I10"/>
    <mergeCell ref="A10:B10"/>
    <mergeCell ref="A11:B11"/>
    <mergeCell ref="H11:I11"/>
    <mergeCell ref="A221:L221"/>
    <mergeCell ref="A272:E272"/>
    <mergeCell ref="A262:E262"/>
    <mergeCell ref="A266:B266"/>
    <mergeCell ref="A267:B267"/>
    <mergeCell ref="A268:B268"/>
    <mergeCell ref="A270:B270"/>
    <mergeCell ref="A269:B269"/>
    <mergeCell ref="A265:B265"/>
    <mergeCell ref="A261:E261"/>
    <mergeCell ref="A43:C43"/>
    <mergeCell ref="G43:J43"/>
    <mergeCell ref="A198:L198"/>
    <mergeCell ref="A48:B48"/>
    <mergeCell ref="C48:D48"/>
    <mergeCell ref="E48:F48"/>
    <mergeCell ref="G48:H48"/>
    <mergeCell ref="K1:L1"/>
    <mergeCell ref="K2:L2"/>
    <mergeCell ref="A2:B2"/>
    <mergeCell ref="G9:G12"/>
    <mergeCell ref="G14:G24"/>
    <mergeCell ref="I7:J7"/>
    <mergeCell ref="A12:B12"/>
    <mergeCell ref="H12:I12"/>
    <mergeCell ref="G33:G37"/>
    <mergeCell ref="G29:G31"/>
    <mergeCell ref="A28:F28"/>
    <mergeCell ref="D29:E29"/>
    <mergeCell ref="A30:B30"/>
    <mergeCell ref="D30:E30"/>
    <mergeCell ref="H30:I30"/>
    <mergeCell ref="A29:B29"/>
    <mergeCell ref="H29:I29"/>
    <mergeCell ref="A32:L32"/>
    <mergeCell ref="A324:B324"/>
    <mergeCell ref="A307:B307"/>
    <mergeCell ref="A309:B309"/>
    <mergeCell ref="A310:B310"/>
    <mergeCell ref="A311:B311"/>
    <mergeCell ref="A312:B312"/>
    <mergeCell ref="A302:E302"/>
    <mergeCell ref="A304:B304"/>
    <mergeCell ref="A305:B305"/>
    <mergeCell ref="A306:B306"/>
    <mergeCell ref="A315:L315"/>
    <mergeCell ref="A320:B320"/>
    <mergeCell ref="A321:B321"/>
    <mergeCell ref="A322:B322"/>
    <mergeCell ref="A323:B323"/>
    <mergeCell ref="A318:C318"/>
    <mergeCell ref="D11:E11"/>
    <mergeCell ref="D12:E12"/>
    <mergeCell ref="A31:B31"/>
    <mergeCell ref="H31:I31"/>
    <mergeCell ref="A25:L25"/>
    <mergeCell ref="A26:M26"/>
    <mergeCell ref="M1:M2"/>
    <mergeCell ref="A5:M5"/>
    <mergeCell ref="A6:M6"/>
    <mergeCell ref="K7:M7"/>
    <mergeCell ref="A8:M8"/>
    <mergeCell ref="A9:F9"/>
    <mergeCell ref="H9:M9"/>
    <mergeCell ref="H14:M14"/>
    <mergeCell ref="A14:F14"/>
    <mergeCell ref="A3:M4"/>
    <mergeCell ref="K11:L11"/>
    <mergeCell ref="K12:L12"/>
    <mergeCell ref="I2:J2"/>
    <mergeCell ref="I1:J1"/>
    <mergeCell ref="A199:M199"/>
    <mergeCell ref="K200:M200"/>
    <mergeCell ref="D200:F200"/>
    <mergeCell ref="J125:K125"/>
    <mergeCell ref="L125:M125"/>
    <mergeCell ref="I48:K48"/>
    <mergeCell ref="L48:M48"/>
    <mergeCell ref="A49:M49"/>
    <mergeCell ref="A123:M123"/>
    <mergeCell ref="A124:M124"/>
    <mergeCell ref="A122:M122"/>
    <mergeCell ref="B125:D125"/>
    <mergeCell ref="E125:F125"/>
    <mergeCell ref="G125:I125"/>
    <mergeCell ref="G200:J200"/>
    <mergeCell ref="D31:E31"/>
    <mergeCell ref="K31:L31"/>
    <mergeCell ref="K29:L29"/>
    <mergeCell ref="K30:L30"/>
    <mergeCell ref="A1:B1"/>
    <mergeCell ref="C1:D1"/>
    <mergeCell ref="C2:D2"/>
  </mergeCells>
  <conditionalFormatting sqref="F51:F121">
    <cfRule type="expression" dxfId="277" priority="25">
      <formula>AND(E51="SI",F51="SI")</formula>
    </cfRule>
  </conditionalFormatting>
  <conditionalFormatting sqref="G51:G121">
    <cfRule type="expression" dxfId="276" priority="24">
      <formula>AND(E51="SI",G51="SI")</formula>
    </cfRule>
  </conditionalFormatting>
  <conditionalFormatting sqref="G51:G121">
    <cfRule type="expression" dxfId="275" priority="76">
      <formula>AND(G51&lt;&gt;"-",OR(B51=#REF!,B51=#REF!,B51=#REF!,B51=#REF!,B51=#REF!,B51=#REF!,B51=#REF!,B51=#REF!,B51=#REF!))</formula>
    </cfRule>
  </conditionalFormatting>
  <conditionalFormatting sqref="G51">
    <cfRule type="expression" dxfId="274" priority="2">
      <formula>"Y($E$51=""SI"";$G$51=""SI"")"</formula>
    </cfRule>
  </conditionalFormatting>
  <conditionalFormatting sqref="H51:H121">
    <cfRule type="expression" dxfId="273" priority="1">
      <formula>AND(OR(E51="SI",F51="SI",G51="SI"), H51="SI")</formula>
    </cfRule>
  </conditionalFormatting>
  <dataValidations count="6">
    <dataValidation type="decimal" allowBlank="1" showInputMessage="1" showErrorMessage="1" sqref="D228:D241 D127:D197 D51:D121" xr:uid="{AC9DD361-A95A-4352-8911-9095A136BDD7}">
      <formula1>0</formula1>
      <formula2>200</formula2>
    </dataValidation>
    <dataValidation type="list" allowBlank="1" showInputMessage="1" showErrorMessage="1" sqref="E51:I121" xr:uid="{E67495FE-58BE-4037-8F51-2D88E6A470BE}">
      <formula1>"SI,NO,-"</formula1>
    </dataValidation>
    <dataValidation showInputMessage="1" showErrorMessage="1" sqref="K1:L1" xr:uid="{6FA8A635-1275-4335-B213-E045540CC150}"/>
    <dataValidation type="list" allowBlank="1" showInputMessage="1" showErrorMessage="1" sqref="C7" xr:uid="{5842C939-0432-4FC7-80FB-B01D8473D34B}">
      <formula1>"SENCILLO, MIXTO"</formula1>
    </dataValidation>
    <dataValidation type="list" allowBlank="1" showInputMessage="1" showErrorMessage="1" sqref="F51:F121" xr:uid="{5D0E628A-7EC9-475B-B5CF-FD065589D6A1}">
      <formula1>"SI,NO"</formula1>
    </dataValidation>
    <dataValidation type="list" allowBlank="1" showInputMessage="1" showErrorMessage="1" sqref="B127:B197" xr:uid="{D36FC9CA-E1E5-4497-982C-7B24A87CF9B3}">
      <formula1>#REF!</formula1>
    </dataValidation>
  </dataValidations>
  <pageMargins left="0.7" right="0.7" top="0.75" bottom="0.75" header="0.3" footer="0.3"/>
  <pageSetup paperSize="9" scale="33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Button_COP">
          <controlPr defaultSize="0" autoLine="0" r:id="rId5">
            <anchor moveWithCells="1">
              <from>
                <xdr:col>5</xdr:col>
                <xdr:colOff>1059180</xdr:colOff>
                <xdr:row>38</xdr:row>
                <xdr:rowOff>0</xdr:rowOff>
              </from>
              <to>
                <xdr:col>7</xdr:col>
                <xdr:colOff>411480</xdr:colOff>
                <xdr:row>39</xdr:row>
                <xdr:rowOff>358140</xdr:rowOff>
              </to>
            </anchor>
          </controlPr>
        </control>
      </mc:Choice>
      <mc:Fallback>
        <control shapeId="1039" r:id="rId4" name="Button_COP"/>
      </mc:Fallback>
    </mc:AlternateContent>
    <mc:AlternateContent xmlns:mc="http://schemas.openxmlformats.org/markup-compatibility/2006">
      <mc:Choice Requires="x14">
        <control shapeId="1035" r:id="rId6" name="ComboRef">
          <controlPr defaultSize="0" autoLine="0" r:id="rId7">
            <anchor moveWithCells="1">
              <from>
                <xdr:col>2</xdr:col>
                <xdr:colOff>457200</xdr:colOff>
                <xdr:row>1</xdr:row>
                <xdr:rowOff>60960</xdr:rowOff>
              </from>
              <to>
                <xdr:col>3</xdr:col>
                <xdr:colOff>784860</xdr:colOff>
                <xdr:row>1</xdr:row>
                <xdr:rowOff>441960</xdr:rowOff>
              </to>
            </anchor>
          </controlPr>
        </control>
      </mc:Choice>
      <mc:Fallback>
        <control shapeId="1035" r:id="rId6" name="ComboRef"/>
      </mc:Fallback>
    </mc:AlternateContent>
    <mc:AlternateContent xmlns:mc="http://schemas.openxmlformats.org/markup-compatibility/2006">
      <mc:Choice Requires="x14">
        <control shapeId="1033" r:id="rId8" name="ComboCiudad">
          <controlPr defaultSize="0" autoLine="0" r:id="rId9">
            <anchor moveWithCells="1">
              <from>
                <xdr:col>7</xdr:col>
                <xdr:colOff>365760</xdr:colOff>
                <xdr:row>0</xdr:row>
                <xdr:rowOff>0</xdr:rowOff>
              </from>
              <to>
                <xdr:col>7</xdr:col>
                <xdr:colOff>2255520</xdr:colOff>
                <xdr:row>0</xdr:row>
                <xdr:rowOff>358140</xdr:rowOff>
              </to>
            </anchor>
          </controlPr>
        </control>
      </mc:Choice>
      <mc:Fallback>
        <control shapeId="1033" r:id="rId8" name="ComboCiuda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45E60B-F167-40E1-B7E7-F6043AFDCD3A}">
          <x14:formula1>
            <xm:f>Tablas!$Y$17:$Y$61</xm:f>
          </x14:formula1>
          <xm:sqref>B51:B121</xm:sqref>
        </x14:dataValidation>
        <x14:dataValidation type="list" allowBlank="1" showInputMessage="1" showErrorMessage="1" xr:uid="{C5986444-18BE-4466-8CA9-BB70CE7B6AD8}">
          <x14:formula1>
            <xm:f>Tablas!$Z$17:$Z$61</xm:f>
          </x14:formula1>
          <xm:sqref>C51:C121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27581-7AE3-49C4-9EEC-A513000BDE44}">
  <sheetPr codeName="Hoja4">
    <pageSetUpPr fitToPage="1"/>
  </sheetPr>
  <dimension ref="A1:K266"/>
  <sheetViews>
    <sheetView topLeftCell="A4" zoomScale="55" zoomScaleNormal="55" workbookViewId="0">
      <selection activeCell="B9" sqref="B9"/>
    </sheetView>
  </sheetViews>
  <sheetFormatPr defaultColWidth="11.5546875" defaultRowHeight="14.4"/>
  <cols>
    <col min="1" max="1" width="8.44140625" style="1" customWidth="1"/>
    <col min="2" max="2" width="38.21875" style="1" bestFit="1" customWidth="1"/>
    <col min="3" max="3" width="24.77734375" style="1" customWidth="1"/>
    <col min="4" max="4" width="17.21875" style="1" customWidth="1"/>
    <col min="5" max="5" width="16" style="1" customWidth="1"/>
    <col min="6" max="6" width="19.21875" style="1" customWidth="1"/>
    <col min="7" max="7" width="42.21875" style="1" bestFit="1" customWidth="1"/>
    <col min="8" max="8" width="18.5546875" style="1" customWidth="1"/>
    <col min="9" max="9" width="18.21875" style="1" customWidth="1"/>
    <col min="10" max="10" width="16.21875" style="1" customWidth="1"/>
    <col min="11" max="11" width="17.77734375" customWidth="1"/>
    <col min="12" max="12" width="11.77734375" bestFit="1" customWidth="1"/>
  </cols>
  <sheetData>
    <row r="1" spans="1:11" ht="43.5" customHeight="1" thickBot="1">
      <c r="A1" s="383" t="s">
        <v>86</v>
      </c>
      <c r="B1" s="384"/>
      <c r="C1" s="384"/>
      <c r="D1" s="384"/>
      <c r="E1" s="384"/>
      <c r="F1" s="384"/>
      <c r="G1" s="384"/>
      <c r="H1" s="384"/>
      <c r="I1" s="384"/>
      <c r="J1" s="384"/>
      <c r="K1" s="385"/>
    </row>
    <row r="2" spans="1:11" ht="10.5" customHeight="1" thickBot="1">
      <c r="A2" s="386"/>
      <c r="B2" s="387"/>
      <c r="C2" s="387"/>
      <c r="D2" s="387"/>
      <c r="E2" s="387"/>
      <c r="F2" s="387"/>
      <c r="G2" s="387"/>
      <c r="H2" s="387"/>
      <c r="I2" s="387"/>
      <c r="J2" s="387"/>
      <c r="K2" s="388"/>
    </row>
    <row r="3" spans="1:11" ht="30.75" customHeight="1">
      <c r="A3" s="406" t="s">
        <v>30</v>
      </c>
      <c r="B3" s="407"/>
      <c r="C3" s="407"/>
      <c r="D3" s="407"/>
      <c r="E3" s="407"/>
      <c r="F3" s="407"/>
      <c r="G3" s="407"/>
      <c r="H3" s="407"/>
      <c r="I3" s="407"/>
      <c r="J3" s="407"/>
      <c r="K3" s="408"/>
    </row>
    <row r="4" spans="1:11" ht="15" customHeight="1">
      <c r="A4" s="310" t="s">
        <v>31</v>
      </c>
      <c r="B4" s="305"/>
      <c r="C4" s="305"/>
      <c r="D4" s="356">
        <v>5</v>
      </c>
      <c r="E4" s="357"/>
      <c r="F4" s="231" t="s">
        <v>32</v>
      </c>
      <c r="G4" s="231"/>
      <c r="H4" s="231"/>
      <c r="I4" s="231"/>
      <c r="J4" s="409">
        <v>0.25</v>
      </c>
      <c r="K4" s="410"/>
    </row>
    <row r="5" spans="1:11" ht="15" customHeight="1" thickBot="1">
      <c r="A5" s="392" t="s">
        <v>33</v>
      </c>
      <c r="B5" s="393"/>
      <c r="C5" s="394"/>
      <c r="D5" s="395">
        <v>15</v>
      </c>
      <c r="E5" s="396"/>
      <c r="F5" s="397" t="s">
        <v>34</v>
      </c>
      <c r="G5" s="393"/>
      <c r="H5" s="393"/>
      <c r="I5" s="394"/>
      <c r="J5" s="398">
        <v>0.91666666666666663</v>
      </c>
      <c r="K5" s="399"/>
    </row>
    <row r="6" spans="1:11" ht="27.75" customHeight="1" thickBot="1">
      <c r="A6" s="400"/>
      <c r="B6" s="401"/>
      <c r="C6" s="401"/>
      <c r="D6" s="401"/>
      <c r="E6" s="401"/>
      <c r="F6" s="401"/>
      <c r="G6" s="401"/>
      <c r="H6" s="401"/>
      <c r="I6" s="401"/>
      <c r="J6" s="401"/>
      <c r="K6" s="402"/>
    </row>
    <row r="7" spans="1:11" ht="24.75" customHeight="1">
      <c r="A7" s="403" t="s">
        <v>35</v>
      </c>
      <c r="B7" s="404"/>
      <c r="C7" s="404"/>
      <c r="D7" s="404"/>
      <c r="E7" s="404"/>
      <c r="F7" s="404"/>
      <c r="G7" s="404"/>
      <c r="H7" s="404"/>
      <c r="I7" s="404"/>
      <c r="J7" s="404"/>
      <c r="K7" s="405"/>
    </row>
    <row r="8" spans="1:11" ht="35.25" customHeight="1">
      <c r="A8" s="25" t="s">
        <v>16</v>
      </c>
      <c r="B8" s="24" t="s">
        <v>36</v>
      </c>
      <c r="C8" s="24" t="s">
        <v>37</v>
      </c>
      <c r="D8" s="24" t="s">
        <v>38</v>
      </c>
      <c r="E8" s="24" t="s">
        <v>39</v>
      </c>
      <c r="F8" s="24" t="s">
        <v>87</v>
      </c>
      <c r="G8" s="24" t="s">
        <v>41</v>
      </c>
      <c r="H8" s="24" t="s">
        <v>88</v>
      </c>
      <c r="I8" s="26" t="s">
        <v>43</v>
      </c>
      <c r="J8" s="24" t="s">
        <v>44</v>
      </c>
      <c r="K8" s="27" t="s">
        <v>45</v>
      </c>
    </row>
    <row r="9" spans="1:11">
      <c r="A9" s="11"/>
      <c r="B9" s="12" t="s">
        <v>46</v>
      </c>
      <c r="C9" s="12"/>
      <c r="D9" s="12">
        <v>6</v>
      </c>
      <c r="E9" s="12" t="s">
        <v>47</v>
      </c>
      <c r="F9" s="12" t="s">
        <v>48</v>
      </c>
      <c r="G9" s="12" t="s">
        <v>47</v>
      </c>
      <c r="H9" s="12"/>
      <c r="I9" s="12"/>
      <c r="J9" s="29"/>
      <c r="K9" s="30">
        <f>IFERROR(PotAhorroMIM(D9,B9,E9,F9,G9,J5,J4),0)</f>
        <v>0</v>
      </c>
    </row>
    <row r="10" spans="1:11">
      <c r="A10" s="11"/>
      <c r="B10" s="12" t="s">
        <v>46</v>
      </c>
      <c r="C10" s="12"/>
      <c r="D10" s="12">
        <v>3</v>
      </c>
      <c r="E10" s="12" t="s">
        <v>47</v>
      </c>
      <c r="F10" s="12" t="s">
        <v>48</v>
      </c>
      <c r="G10" s="12" t="s">
        <v>47</v>
      </c>
      <c r="H10" s="12"/>
      <c r="I10" s="12"/>
      <c r="J10" s="29"/>
      <c r="K10" s="30">
        <f t="shared" ref="K10:K35" si="0">IFERROR(PotAhorroMIM(D10,B10,E10,F10,G10,J6,J5),0)</f>
        <v>0</v>
      </c>
    </row>
    <row r="11" spans="1:11">
      <c r="A11" s="11"/>
      <c r="B11" s="12" t="s">
        <v>46</v>
      </c>
      <c r="C11" s="12"/>
      <c r="D11" s="12">
        <v>4</v>
      </c>
      <c r="E11" s="12" t="s">
        <v>47</v>
      </c>
      <c r="F11" s="12" t="s">
        <v>48</v>
      </c>
      <c r="G11" s="12" t="s">
        <v>47</v>
      </c>
      <c r="H11" s="12"/>
      <c r="I11" s="12"/>
      <c r="J11" s="29"/>
      <c r="K11" s="30">
        <f t="shared" si="0"/>
        <v>0</v>
      </c>
    </row>
    <row r="12" spans="1:11">
      <c r="A12" s="11"/>
      <c r="B12" s="12" t="s">
        <v>46</v>
      </c>
      <c r="C12" s="12"/>
      <c r="D12" s="12">
        <v>5</v>
      </c>
      <c r="E12" s="12" t="s">
        <v>48</v>
      </c>
      <c r="F12" s="12" t="s">
        <v>48</v>
      </c>
      <c r="G12" s="12" t="s">
        <v>47</v>
      </c>
      <c r="H12" s="12"/>
      <c r="I12" s="12"/>
      <c r="J12" s="29"/>
      <c r="K12" s="30">
        <f t="shared" si="0"/>
        <v>0</v>
      </c>
    </row>
    <row r="13" spans="1:11">
      <c r="A13" s="11"/>
      <c r="B13" s="12" t="s">
        <v>46</v>
      </c>
      <c r="C13" s="12"/>
      <c r="D13" s="12">
        <v>7</v>
      </c>
      <c r="E13" s="12" t="s">
        <v>48</v>
      </c>
      <c r="F13" s="12" t="s">
        <v>48</v>
      </c>
      <c r="G13" s="12" t="s">
        <v>47</v>
      </c>
      <c r="H13" s="12"/>
      <c r="I13" s="12"/>
      <c r="J13" s="29"/>
      <c r="K13" s="30">
        <f t="shared" si="0"/>
        <v>0</v>
      </c>
    </row>
    <row r="14" spans="1:11">
      <c r="A14" s="11"/>
      <c r="B14" s="12" t="s">
        <v>46</v>
      </c>
      <c r="C14" s="12"/>
      <c r="D14" s="12">
        <v>3</v>
      </c>
      <c r="E14" s="12" t="s">
        <v>49</v>
      </c>
      <c r="F14" s="12" t="s">
        <v>48</v>
      </c>
      <c r="G14" s="12" t="s">
        <v>47</v>
      </c>
      <c r="H14" s="12"/>
      <c r="I14" s="12"/>
      <c r="J14" s="29"/>
      <c r="K14" s="30">
        <f t="shared" si="0"/>
        <v>0</v>
      </c>
    </row>
    <row r="15" spans="1:11">
      <c r="A15" s="11"/>
      <c r="B15" s="12" t="s">
        <v>46</v>
      </c>
      <c r="C15" s="12"/>
      <c r="D15" s="12"/>
      <c r="E15" s="12" t="s">
        <v>48</v>
      </c>
      <c r="F15" s="12" t="s">
        <v>48</v>
      </c>
      <c r="G15" s="12" t="s">
        <v>47</v>
      </c>
      <c r="H15" s="12"/>
      <c r="I15" s="12"/>
      <c r="J15" s="29"/>
      <c r="K15" s="30">
        <f t="shared" si="0"/>
        <v>0</v>
      </c>
    </row>
    <row r="16" spans="1:11">
      <c r="A16" s="11"/>
      <c r="B16" s="12" t="s">
        <v>46</v>
      </c>
      <c r="C16" s="12"/>
      <c r="D16" s="12"/>
      <c r="E16" s="12" t="s">
        <v>48</v>
      </c>
      <c r="F16" s="12" t="s">
        <v>48</v>
      </c>
      <c r="G16" s="12" t="s">
        <v>47</v>
      </c>
      <c r="H16" s="12"/>
      <c r="I16" s="12"/>
      <c r="J16" s="29"/>
      <c r="K16" s="30">
        <f t="shared" si="0"/>
        <v>0</v>
      </c>
    </row>
    <row r="17" spans="1:11">
      <c r="A17" s="11"/>
      <c r="B17" s="12" t="s">
        <v>46</v>
      </c>
      <c r="C17" s="12"/>
      <c r="D17" s="12"/>
      <c r="E17" s="12" t="s">
        <v>48</v>
      </c>
      <c r="F17" s="12" t="s">
        <v>48</v>
      </c>
      <c r="G17" s="12" t="s">
        <v>47</v>
      </c>
      <c r="H17" s="12"/>
      <c r="I17" s="12"/>
      <c r="J17" s="29"/>
      <c r="K17" s="30">
        <f t="shared" si="0"/>
        <v>0</v>
      </c>
    </row>
    <row r="18" spans="1:11">
      <c r="A18" s="11"/>
      <c r="B18" s="12" t="s">
        <v>46</v>
      </c>
      <c r="C18" s="12"/>
      <c r="D18" s="12"/>
      <c r="E18" s="12" t="s">
        <v>48</v>
      </c>
      <c r="F18" s="12" t="s">
        <v>48</v>
      </c>
      <c r="G18" s="12" t="s">
        <v>47</v>
      </c>
      <c r="H18" s="12"/>
      <c r="I18" s="12"/>
      <c r="J18" s="29"/>
      <c r="K18" s="30">
        <f t="shared" si="0"/>
        <v>0</v>
      </c>
    </row>
    <row r="19" spans="1:11" ht="15.75" customHeight="1">
      <c r="A19" s="11"/>
      <c r="B19" s="12" t="s">
        <v>46</v>
      </c>
      <c r="C19" s="12"/>
      <c r="D19" s="12"/>
      <c r="E19" s="12" t="s">
        <v>48</v>
      </c>
      <c r="F19" s="12" t="s">
        <v>48</v>
      </c>
      <c r="G19" s="12" t="s">
        <v>47</v>
      </c>
      <c r="H19" s="12"/>
      <c r="I19" s="12"/>
      <c r="J19" s="29"/>
      <c r="K19" s="30">
        <f t="shared" si="0"/>
        <v>0</v>
      </c>
    </row>
    <row r="20" spans="1:11">
      <c r="A20" s="11"/>
      <c r="B20" s="12" t="s">
        <v>46</v>
      </c>
      <c r="C20" s="12"/>
      <c r="D20" s="12"/>
      <c r="E20" s="12" t="s">
        <v>48</v>
      </c>
      <c r="F20" s="12" t="s">
        <v>48</v>
      </c>
      <c r="G20" s="12" t="s">
        <v>47</v>
      </c>
      <c r="H20" s="12"/>
      <c r="I20" s="12"/>
      <c r="J20" s="29"/>
      <c r="K20" s="30">
        <f t="shared" si="0"/>
        <v>0</v>
      </c>
    </row>
    <row r="21" spans="1:11">
      <c r="A21" s="11"/>
      <c r="B21" s="12" t="s">
        <v>46</v>
      </c>
      <c r="C21" s="12"/>
      <c r="D21" s="12"/>
      <c r="E21" s="12" t="s">
        <v>48</v>
      </c>
      <c r="F21" s="12" t="s">
        <v>47</v>
      </c>
      <c r="G21" s="12" t="s">
        <v>47</v>
      </c>
      <c r="H21" s="12"/>
      <c r="I21" s="12"/>
      <c r="J21" s="29"/>
      <c r="K21" s="30">
        <f t="shared" si="0"/>
        <v>0</v>
      </c>
    </row>
    <row r="22" spans="1:11">
      <c r="A22" s="11"/>
      <c r="B22" s="12" t="s">
        <v>46</v>
      </c>
      <c r="C22" s="12"/>
      <c r="D22" s="12"/>
      <c r="E22" s="12" t="s">
        <v>48</v>
      </c>
      <c r="F22" s="12" t="s">
        <v>48</v>
      </c>
      <c r="G22" s="12" t="s">
        <v>47</v>
      </c>
      <c r="H22" s="12"/>
      <c r="I22" s="12"/>
      <c r="J22" s="29"/>
      <c r="K22" s="30">
        <f t="shared" si="0"/>
        <v>0</v>
      </c>
    </row>
    <row r="23" spans="1:11">
      <c r="A23" s="11"/>
      <c r="B23" s="12" t="s">
        <v>46</v>
      </c>
      <c r="C23" s="12"/>
      <c r="D23" s="12"/>
      <c r="E23" s="12" t="s">
        <v>48</v>
      </c>
      <c r="F23" s="12" t="s">
        <v>47</v>
      </c>
      <c r="G23" s="12" t="s">
        <v>47</v>
      </c>
      <c r="H23" s="12"/>
      <c r="I23" s="12"/>
      <c r="J23" s="29"/>
      <c r="K23" s="30">
        <f t="shared" si="0"/>
        <v>0</v>
      </c>
    </row>
    <row r="24" spans="1:11">
      <c r="A24" s="11"/>
      <c r="B24" s="12" t="s">
        <v>46</v>
      </c>
      <c r="C24" s="12"/>
      <c r="D24" s="12"/>
      <c r="E24" s="12" t="s">
        <v>48</v>
      </c>
      <c r="F24" s="12" t="s">
        <v>48</v>
      </c>
      <c r="G24" s="12" t="s">
        <v>47</v>
      </c>
      <c r="H24" s="12"/>
      <c r="I24" s="12"/>
      <c r="J24" s="29"/>
      <c r="K24" s="30">
        <f t="shared" si="0"/>
        <v>0</v>
      </c>
    </row>
    <row r="25" spans="1:11">
      <c r="A25" s="11"/>
      <c r="B25" s="12" t="s">
        <v>46</v>
      </c>
      <c r="C25" s="12"/>
      <c r="D25" s="12"/>
      <c r="E25" s="12" t="s">
        <v>48</v>
      </c>
      <c r="F25" s="12" t="s">
        <v>48</v>
      </c>
      <c r="G25" s="12" t="s">
        <v>47</v>
      </c>
      <c r="H25" s="12"/>
      <c r="I25" s="12"/>
      <c r="J25" s="29"/>
      <c r="K25" s="30">
        <f t="shared" si="0"/>
        <v>0</v>
      </c>
    </row>
    <row r="26" spans="1:11">
      <c r="A26" s="11"/>
      <c r="B26" s="12" t="s">
        <v>46</v>
      </c>
      <c r="C26" s="12"/>
      <c r="D26" s="12"/>
      <c r="E26" s="12" t="s">
        <v>48</v>
      </c>
      <c r="F26" s="12" t="s">
        <v>48</v>
      </c>
      <c r="G26" s="12" t="s">
        <v>47</v>
      </c>
      <c r="H26" s="12"/>
      <c r="I26" s="12"/>
      <c r="J26" s="29"/>
      <c r="K26" s="30">
        <f t="shared" si="0"/>
        <v>0</v>
      </c>
    </row>
    <row r="27" spans="1:11">
      <c r="A27" s="11"/>
      <c r="B27" s="12" t="s">
        <v>46</v>
      </c>
      <c r="C27" s="12"/>
      <c r="D27" s="12"/>
      <c r="E27" s="12" t="s">
        <v>48</v>
      </c>
      <c r="F27" s="12" t="s">
        <v>48</v>
      </c>
      <c r="G27" s="12" t="s">
        <v>47</v>
      </c>
      <c r="H27" s="12"/>
      <c r="I27" s="12"/>
      <c r="J27" s="29"/>
      <c r="K27" s="30">
        <f t="shared" si="0"/>
        <v>0</v>
      </c>
    </row>
    <row r="28" spans="1:11">
      <c r="A28" s="11"/>
      <c r="B28" s="12" t="s">
        <v>46</v>
      </c>
      <c r="C28" s="12"/>
      <c r="D28" s="12"/>
      <c r="E28" s="12" t="s">
        <v>48</v>
      </c>
      <c r="F28" s="12" t="s">
        <v>48</v>
      </c>
      <c r="G28" s="12" t="s">
        <v>47</v>
      </c>
      <c r="H28" s="12"/>
      <c r="I28" s="12"/>
      <c r="J28" s="29"/>
      <c r="K28" s="30">
        <f t="shared" si="0"/>
        <v>0</v>
      </c>
    </row>
    <row r="29" spans="1:11">
      <c r="A29" s="11"/>
      <c r="B29" s="12" t="s">
        <v>46</v>
      </c>
      <c r="C29" s="12"/>
      <c r="D29" s="12"/>
      <c r="E29" s="12" t="s">
        <v>48</v>
      </c>
      <c r="F29" s="12" t="s">
        <v>48</v>
      </c>
      <c r="G29" s="12" t="s">
        <v>47</v>
      </c>
      <c r="H29" s="12"/>
      <c r="I29" s="12"/>
      <c r="J29" s="29"/>
      <c r="K29" s="30">
        <f t="shared" si="0"/>
        <v>0</v>
      </c>
    </row>
    <row r="30" spans="1:11">
      <c r="A30" s="11"/>
      <c r="B30" s="12" t="s">
        <v>46</v>
      </c>
      <c r="C30" s="12"/>
      <c r="D30" s="12"/>
      <c r="E30" s="12" t="s">
        <v>48</v>
      </c>
      <c r="F30" s="12" t="s">
        <v>48</v>
      </c>
      <c r="G30" s="12" t="s">
        <v>47</v>
      </c>
      <c r="H30" s="12"/>
      <c r="I30" s="12"/>
      <c r="J30" s="29"/>
      <c r="K30" s="30">
        <f t="shared" si="0"/>
        <v>0</v>
      </c>
    </row>
    <row r="31" spans="1:11" ht="15.75" customHeight="1">
      <c r="A31" s="11"/>
      <c r="B31" s="12" t="s">
        <v>46</v>
      </c>
      <c r="C31" s="12"/>
      <c r="D31" s="12"/>
      <c r="E31" s="12" t="s">
        <v>48</v>
      </c>
      <c r="F31" s="12" t="s">
        <v>48</v>
      </c>
      <c r="G31" s="12" t="s">
        <v>47</v>
      </c>
      <c r="H31" s="12"/>
      <c r="I31" s="12"/>
      <c r="J31" s="29"/>
      <c r="K31" s="30">
        <f t="shared" si="0"/>
        <v>0</v>
      </c>
    </row>
    <row r="32" spans="1:11">
      <c r="A32" s="11"/>
      <c r="B32" s="12" t="s">
        <v>46</v>
      </c>
      <c r="C32" s="12"/>
      <c r="D32" s="12"/>
      <c r="E32" s="12" t="s">
        <v>48</v>
      </c>
      <c r="F32" s="12" t="s">
        <v>48</v>
      </c>
      <c r="G32" s="12" t="s">
        <v>47</v>
      </c>
      <c r="H32" s="12"/>
      <c r="I32" s="12"/>
      <c r="J32" s="29"/>
      <c r="K32" s="30">
        <f t="shared" si="0"/>
        <v>0</v>
      </c>
    </row>
    <row r="33" spans="1:11">
      <c r="A33" s="11"/>
      <c r="B33" s="12" t="s">
        <v>46</v>
      </c>
      <c r="C33" s="12"/>
      <c r="D33" s="12"/>
      <c r="E33" s="12" t="s">
        <v>48</v>
      </c>
      <c r="F33" s="12" t="s">
        <v>48</v>
      </c>
      <c r="G33" s="12" t="s">
        <v>47</v>
      </c>
      <c r="H33" s="12"/>
      <c r="I33" s="12"/>
      <c r="J33" s="29"/>
      <c r="K33" s="30">
        <f t="shared" si="0"/>
        <v>0</v>
      </c>
    </row>
    <row r="34" spans="1:11">
      <c r="A34" s="11"/>
      <c r="B34" s="12" t="s">
        <v>46</v>
      </c>
      <c r="C34" s="12"/>
      <c r="D34" s="12"/>
      <c r="E34" s="12" t="s">
        <v>48</v>
      </c>
      <c r="F34" s="12" t="s">
        <v>48</v>
      </c>
      <c r="G34" s="12" t="s">
        <v>47</v>
      </c>
      <c r="H34" s="12"/>
      <c r="I34" s="12"/>
      <c r="J34" s="29"/>
      <c r="K34" s="30">
        <f t="shared" si="0"/>
        <v>0</v>
      </c>
    </row>
    <row r="35" spans="1:11" ht="15.75" customHeight="1" thickBot="1">
      <c r="A35" s="4"/>
      <c r="B35" s="12" t="s">
        <v>46</v>
      </c>
      <c r="C35" s="15"/>
      <c r="D35" s="15"/>
      <c r="E35" s="12" t="s">
        <v>48</v>
      </c>
      <c r="F35" s="12" t="s">
        <v>48</v>
      </c>
      <c r="G35" s="12" t="s">
        <v>47</v>
      </c>
      <c r="H35" s="12"/>
      <c r="I35" s="12"/>
      <c r="J35" s="29"/>
      <c r="K35" s="30">
        <f t="shared" si="0"/>
        <v>0</v>
      </c>
    </row>
    <row r="36" spans="1:11" ht="30" customHeight="1" thickBot="1">
      <c r="A36" s="361"/>
      <c r="B36" s="342"/>
      <c r="C36" s="342"/>
      <c r="D36" s="342"/>
      <c r="E36" s="342"/>
      <c r="F36" s="342"/>
      <c r="G36" s="342"/>
      <c r="H36" s="342"/>
      <c r="I36" s="342"/>
      <c r="J36" s="342"/>
      <c r="K36" s="343"/>
    </row>
    <row r="37" spans="1:11" ht="27" customHeight="1">
      <c r="A37" s="403" t="s">
        <v>50</v>
      </c>
      <c r="B37" s="404"/>
      <c r="C37" s="404"/>
      <c r="D37" s="404"/>
      <c r="E37" s="404"/>
      <c r="F37" s="404"/>
      <c r="G37" s="404"/>
      <c r="H37" s="404"/>
      <c r="I37" s="404"/>
      <c r="J37" s="404"/>
      <c r="K37" s="405"/>
    </row>
    <row r="38" spans="1:11" ht="28.8">
      <c r="A38" s="25" t="s">
        <v>16</v>
      </c>
      <c r="B38" s="24" t="s">
        <v>36</v>
      </c>
      <c r="C38" s="24" t="s">
        <v>37</v>
      </c>
      <c r="D38" s="24" t="s">
        <v>38</v>
      </c>
      <c r="E38" s="24" t="s">
        <v>39</v>
      </c>
      <c r="F38" s="24" t="s">
        <v>87</v>
      </c>
      <c r="G38" s="24" t="s">
        <v>41</v>
      </c>
      <c r="H38" s="24" t="s">
        <v>88</v>
      </c>
      <c r="I38" s="26" t="s">
        <v>43</v>
      </c>
      <c r="J38" s="24" t="s">
        <v>44</v>
      </c>
      <c r="K38" s="27" t="s">
        <v>45</v>
      </c>
    </row>
    <row r="39" spans="1:11">
      <c r="A39" s="11"/>
      <c r="B39" s="12" t="s">
        <v>51</v>
      </c>
      <c r="C39" s="12"/>
      <c r="D39" s="12">
        <v>3.75</v>
      </c>
      <c r="E39" s="2" t="s">
        <v>47</v>
      </c>
      <c r="F39" s="2" t="s">
        <v>47</v>
      </c>
      <c r="G39" s="2" t="s">
        <v>48</v>
      </c>
      <c r="H39" s="12" t="s">
        <v>47</v>
      </c>
      <c r="I39" s="12" t="s">
        <v>47</v>
      </c>
      <c r="J39" s="12"/>
      <c r="K39" s="3">
        <f ca="1">IFERROR(PotMIMAhorro(D39,B39,E39,G39,J5,J4),0)</f>
        <v>0</v>
      </c>
    </row>
    <row r="40" spans="1:11">
      <c r="A40" s="11"/>
      <c r="B40" s="12"/>
      <c r="C40" s="12"/>
      <c r="D40" s="12"/>
      <c r="E40" s="2"/>
      <c r="F40" s="2"/>
      <c r="G40" s="2"/>
      <c r="H40" s="12"/>
      <c r="I40" s="12"/>
      <c r="J40" s="12"/>
      <c r="K40" s="3"/>
    </row>
    <row r="41" spans="1:11">
      <c r="A41" s="11"/>
      <c r="B41" s="12"/>
      <c r="C41" s="12"/>
      <c r="D41" s="12"/>
      <c r="E41" s="2"/>
      <c r="F41" s="2"/>
      <c r="G41" s="2"/>
      <c r="H41" s="12"/>
      <c r="I41" s="12"/>
      <c r="J41" s="12"/>
      <c r="K41" s="3"/>
    </row>
    <row r="42" spans="1:11">
      <c r="A42" s="11"/>
      <c r="B42" s="12"/>
      <c r="C42" s="12"/>
      <c r="D42" s="12"/>
      <c r="E42" s="2"/>
      <c r="F42" s="2"/>
      <c r="G42" s="2"/>
      <c r="H42" s="12"/>
      <c r="I42" s="12"/>
      <c r="J42" s="12"/>
      <c r="K42" s="3"/>
    </row>
    <row r="43" spans="1:11">
      <c r="A43" s="11"/>
      <c r="B43" s="12"/>
      <c r="C43" s="12"/>
      <c r="D43" s="12"/>
      <c r="E43" s="2"/>
      <c r="F43" s="2"/>
      <c r="G43" s="2"/>
      <c r="H43" s="12"/>
      <c r="I43" s="12"/>
      <c r="J43" s="12"/>
      <c r="K43" s="3"/>
    </row>
    <row r="44" spans="1:11">
      <c r="A44" s="11"/>
      <c r="B44" s="12"/>
      <c r="C44" s="12"/>
      <c r="D44" s="12"/>
      <c r="E44" s="2"/>
      <c r="F44" s="2"/>
      <c r="G44" s="2"/>
      <c r="H44" s="12"/>
      <c r="I44" s="12"/>
      <c r="J44" s="12"/>
      <c r="K44" s="3"/>
    </row>
    <row r="45" spans="1:11">
      <c r="A45" s="11"/>
      <c r="B45" s="12"/>
      <c r="C45" s="12"/>
      <c r="D45" s="12"/>
      <c r="E45" s="2"/>
      <c r="F45" s="2"/>
      <c r="G45" s="2"/>
      <c r="H45" s="12"/>
      <c r="I45" s="12"/>
      <c r="J45" s="12"/>
      <c r="K45" s="3"/>
    </row>
    <row r="46" spans="1:11">
      <c r="A46" s="11"/>
      <c r="B46" s="12"/>
      <c r="C46" s="12"/>
      <c r="D46" s="12"/>
      <c r="E46" s="2"/>
      <c r="F46" s="2"/>
      <c r="G46" s="2"/>
      <c r="H46" s="12"/>
      <c r="I46" s="12"/>
      <c r="J46" s="12"/>
      <c r="K46" s="3"/>
    </row>
    <row r="47" spans="1:11">
      <c r="A47" s="10"/>
      <c r="B47" s="12"/>
      <c r="C47" s="16"/>
      <c r="D47" s="16"/>
      <c r="E47" s="7"/>
      <c r="F47" s="7"/>
      <c r="G47" s="7"/>
      <c r="H47" s="16"/>
      <c r="I47" s="16"/>
      <c r="J47" s="16"/>
      <c r="K47" s="9"/>
    </row>
    <row r="48" spans="1:11">
      <c r="A48" s="11"/>
      <c r="B48" s="12"/>
      <c r="C48" s="12"/>
      <c r="D48" s="12"/>
      <c r="E48" s="2"/>
      <c r="F48" s="2"/>
      <c r="G48" s="2"/>
      <c r="H48" s="12"/>
      <c r="I48" s="12"/>
      <c r="J48" s="12"/>
      <c r="K48" s="3"/>
    </row>
    <row r="49" spans="1:11">
      <c r="A49" s="13"/>
      <c r="B49" s="12"/>
      <c r="C49" s="17"/>
      <c r="D49" s="17"/>
      <c r="E49" s="18"/>
      <c r="F49" s="18"/>
      <c r="G49" s="18"/>
      <c r="H49" s="17"/>
      <c r="I49" s="17"/>
      <c r="J49" s="17"/>
      <c r="K49" s="6"/>
    </row>
    <row r="50" spans="1:11">
      <c r="A50" s="13"/>
      <c r="B50" s="12"/>
      <c r="C50" s="17"/>
      <c r="D50" s="17"/>
      <c r="E50" s="18"/>
      <c r="F50" s="18"/>
      <c r="G50" s="18"/>
      <c r="H50" s="17"/>
      <c r="I50" s="17"/>
      <c r="J50" s="17"/>
      <c r="K50" s="6"/>
    </row>
    <row r="51" spans="1:11">
      <c r="A51" s="13"/>
      <c r="B51" s="12"/>
      <c r="C51" s="17"/>
      <c r="D51" s="17"/>
      <c r="E51" s="18"/>
      <c r="F51" s="18"/>
      <c r="G51" s="18"/>
      <c r="H51" s="17"/>
      <c r="I51" s="17"/>
      <c r="J51" s="17"/>
      <c r="K51" s="6"/>
    </row>
    <row r="52" spans="1:11">
      <c r="A52" s="13"/>
      <c r="B52" s="12"/>
      <c r="C52" s="17"/>
      <c r="D52" s="17"/>
      <c r="E52" s="18"/>
      <c r="F52" s="18"/>
      <c r="G52" s="18"/>
      <c r="H52" s="17"/>
      <c r="I52" s="17"/>
      <c r="J52" s="17"/>
      <c r="K52" s="6"/>
    </row>
    <row r="53" spans="1:11">
      <c r="A53" s="13"/>
      <c r="B53" s="12"/>
      <c r="C53" s="17"/>
      <c r="D53" s="17"/>
      <c r="E53" s="18"/>
      <c r="F53" s="18"/>
      <c r="G53" s="18"/>
      <c r="H53" s="17"/>
      <c r="I53" s="17"/>
      <c r="J53" s="17"/>
      <c r="K53" s="6"/>
    </row>
    <row r="54" spans="1:11">
      <c r="A54" s="13"/>
      <c r="B54" s="12"/>
      <c r="C54" s="17"/>
      <c r="D54" s="17"/>
      <c r="E54" s="18"/>
      <c r="F54" s="18"/>
      <c r="G54" s="18"/>
      <c r="H54" s="17"/>
      <c r="I54" s="17"/>
      <c r="J54" s="17"/>
      <c r="K54" s="6"/>
    </row>
    <row r="55" spans="1:11">
      <c r="A55" s="11"/>
      <c r="B55" s="12"/>
      <c r="C55" s="12"/>
      <c r="D55" s="12"/>
      <c r="E55" s="2"/>
      <c r="F55" s="2"/>
      <c r="G55" s="2"/>
      <c r="H55" s="12"/>
      <c r="I55" s="12"/>
      <c r="J55" s="12"/>
      <c r="K55" s="3"/>
    </row>
    <row r="56" spans="1:11">
      <c r="A56" s="11"/>
      <c r="B56" s="12"/>
      <c r="C56" s="12"/>
      <c r="D56" s="12"/>
      <c r="E56" s="2"/>
      <c r="F56" s="2"/>
      <c r="G56" s="2"/>
      <c r="H56" s="12"/>
      <c r="I56" s="12"/>
      <c r="J56" s="12"/>
      <c r="K56" s="3"/>
    </row>
    <row r="57" spans="1:11">
      <c r="A57" s="11"/>
      <c r="B57" s="12"/>
      <c r="C57" s="12"/>
      <c r="D57" s="12"/>
      <c r="E57" s="2"/>
      <c r="F57" s="2"/>
      <c r="G57" s="2"/>
      <c r="H57" s="12"/>
      <c r="I57" s="12"/>
      <c r="J57" s="12"/>
      <c r="K57" s="3"/>
    </row>
    <row r="58" spans="1:11">
      <c r="A58" s="11"/>
      <c r="B58" s="12"/>
      <c r="C58" s="12"/>
      <c r="D58" s="12"/>
      <c r="E58" s="2"/>
      <c r="F58" s="2"/>
      <c r="G58" s="2"/>
      <c r="H58" s="12"/>
      <c r="I58" s="12"/>
      <c r="J58" s="12"/>
      <c r="K58" s="3"/>
    </row>
    <row r="59" spans="1:11">
      <c r="A59" s="11"/>
      <c r="B59" s="12"/>
      <c r="C59" s="12"/>
      <c r="D59" s="12"/>
      <c r="E59" s="2"/>
      <c r="F59" s="2"/>
      <c r="G59" s="2"/>
      <c r="H59" s="12"/>
      <c r="I59" s="12"/>
      <c r="J59" s="12"/>
      <c r="K59" s="3"/>
    </row>
    <row r="60" spans="1:11">
      <c r="A60" s="11"/>
      <c r="B60" s="12"/>
      <c r="C60" s="12"/>
      <c r="D60" s="12"/>
      <c r="E60" s="2"/>
      <c r="F60" s="2"/>
      <c r="G60" s="2"/>
      <c r="H60" s="12"/>
      <c r="I60" s="12"/>
      <c r="J60" s="12"/>
      <c r="K60" s="3"/>
    </row>
    <row r="61" spans="1:11">
      <c r="A61" s="11"/>
      <c r="B61" s="12"/>
      <c r="C61" s="12"/>
      <c r="D61" s="12"/>
      <c r="E61" s="2"/>
      <c r="F61" s="2"/>
      <c r="G61" s="2"/>
      <c r="H61" s="12"/>
      <c r="I61" s="12"/>
      <c r="J61" s="12"/>
      <c r="K61" s="3"/>
    </row>
    <row r="62" spans="1:11">
      <c r="A62" s="10"/>
      <c r="B62" s="12"/>
      <c r="C62" s="16"/>
      <c r="D62" s="16"/>
      <c r="E62" s="7"/>
      <c r="F62" s="7"/>
      <c r="G62" s="7"/>
      <c r="H62" s="16"/>
      <c r="I62" s="16"/>
      <c r="J62" s="16"/>
      <c r="K62" s="9"/>
    </row>
    <row r="63" spans="1:11">
      <c r="A63" s="11"/>
      <c r="B63" s="12"/>
      <c r="C63" s="12"/>
      <c r="D63" s="12"/>
      <c r="E63" s="2"/>
      <c r="F63" s="2"/>
      <c r="G63" s="2"/>
      <c r="H63" s="12"/>
      <c r="I63" s="12"/>
      <c r="J63" s="12"/>
      <c r="K63" s="3"/>
    </row>
    <row r="64" spans="1:11">
      <c r="A64" s="13"/>
      <c r="B64" s="12"/>
      <c r="C64" s="17"/>
      <c r="D64" s="17"/>
      <c r="E64" s="18"/>
      <c r="F64" s="18"/>
      <c r="G64" s="18"/>
      <c r="H64" s="17"/>
      <c r="I64" s="17"/>
      <c r="J64" s="17"/>
      <c r="K64" s="6"/>
    </row>
    <row r="65" spans="1:11">
      <c r="A65" s="13"/>
      <c r="B65" s="12"/>
      <c r="C65" s="17"/>
      <c r="D65" s="17"/>
      <c r="E65" s="18"/>
      <c r="F65" s="18"/>
      <c r="G65" s="18"/>
      <c r="H65" s="17"/>
      <c r="I65" s="17"/>
      <c r="J65" s="17"/>
      <c r="K65" s="6"/>
    </row>
    <row r="66" spans="1:11">
      <c r="A66" s="13"/>
      <c r="B66" s="12"/>
      <c r="C66" s="17"/>
      <c r="D66" s="17"/>
      <c r="E66" s="18"/>
      <c r="F66" s="18"/>
      <c r="G66" s="18"/>
      <c r="H66" s="17"/>
      <c r="I66" s="17"/>
      <c r="J66" s="17"/>
      <c r="K66" s="6"/>
    </row>
    <row r="67" spans="1:11">
      <c r="A67" s="13"/>
      <c r="B67" s="12"/>
      <c r="C67" s="17"/>
      <c r="D67" s="17"/>
      <c r="E67" s="18"/>
      <c r="F67" s="18"/>
      <c r="G67" s="18"/>
      <c r="H67" s="17"/>
      <c r="I67" s="17"/>
      <c r="J67" s="17"/>
      <c r="K67" s="6"/>
    </row>
    <row r="68" spans="1:11">
      <c r="A68" s="13"/>
      <c r="B68" s="12"/>
      <c r="C68" s="17"/>
      <c r="D68" s="17"/>
      <c r="E68" s="18"/>
      <c r="F68" s="18"/>
      <c r="G68" s="18"/>
      <c r="H68" s="17"/>
      <c r="I68" s="17"/>
      <c r="J68" s="17"/>
      <c r="K68" s="6"/>
    </row>
    <row r="69" spans="1:11" ht="15" thickBot="1">
      <c r="A69" s="4"/>
      <c r="B69" s="12"/>
      <c r="C69" s="15"/>
      <c r="D69" s="15"/>
      <c r="E69" s="8"/>
      <c r="F69" s="8"/>
      <c r="G69" s="8"/>
      <c r="H69" s="15"/>
      <c r="I69" s="15"/>
      <c r="J69" s="15"/>
      <c r="K69" s="5"/>
    </row>
    <row r="70" spans="1:11" ht="45.75" customHeight="1" thickBot="1">
      <c r="A70" s="342"/>
      <c r="B70" s="342"/>
      <c r="C70" s="342"/>
      <c r="D70" s="342"/>
      <c r="E70" s="342"/>
      <c r="F70" s="342"/>
      <c r="G70" s="342"/>
      <c r="H70" s="342"/>
      <c r="I70" s="342"/>
      <c r="J70" s="342"/>
      <c r="K70" s="342"/>
    </row>
    <row r="71" spans="1:11" ht="37.5" customHeight="1" thickBot="1">
      <c r="A71" s="368" t="s">
        <v>52</v>
      </c>
      <c r="B71" s="369"/>
      <c r="C71" s="369"/>
      <c r="D71" s="369"/>
      <c r="E71" s="369"/>
      <c r="F71" s="369"/>
      <c r="G71" s="369"/>
      <c r="H71" s="369"/>
      <c r="I71" s="369"/>
      <c r="J71" s="369"/>
      <c r="K71" s="370"/>
    </row>
    <row r="72" spans="1:11" ht="26.25" customHeight="1" thickBot="1">
      <c r="A72" s="226" t="s">
        <v>31</v>
      </c>
      <c r="B72" s="227"/>
      <c r="C72" s="228"/>
      <c r="D72" s="371"/>
      <c r="E72" s="372"/>
      <c r="F72" s="226" t="s">
        <v>33</v>
      </c>
      <c r="G72" s="227"/>
      <c r="H72" s="227"/>
      <c r="I72" s="228"/>
      <c r="J72" s="371"/>
      <c r="K72" s="372"/>
    </row>
    <row r="73" spans="1:11" ht="35.25" customHeight="1" thickBot="1">
      <c r="A73" s="411"/>
      <c r="B73" s="412"/>
      <c r="C73" s="412"/>
      <c r="D73" s="412"/>
      <c r="E73" s="412"/>
      <c r="F73" s="412"/>
      <c r="G73" s="412"/>
      <c r="H73" s="412"/>
      <c r="I73" s="412"/>
      <c r="J73" s="412"/>
      <c r="K73" s="413"/>
    </row>
    <row r="74" spans="1:11" ht="30" customHeight="1" thickBot="1">
      <c r="A74" s="386" t="s">
        <v>35</v>
      </c>
      <c r="B74" s="387"/>
      <c r="C74" s="387"/>
      <c r="D74" s="387"/>
      <c r="E74" s="387"/>
      <c r="F74" s="387"/>
      <c r="G74" s="387"/>
      <c r="H74" s="387"/>
      <c r="I74" s="387"/>
      <c r="J74" s="388"/>
      <c r="K74" s="45"/>
    </row>
    <row r="75" spans="1:11" ht="28.8">
      <c r="A75" s="41" t="s">
        <v>16</v>
      </c>
      <c r="B75" s="42" t="s">
        <v>36</v>
      </c>
      <c r="C75" s="42" t="s">
        <v>37</v>
      </c>
      <c r="D75" s="42" t="s">
        <v>38</v>
      </c>
      <c r="E75" s="42" t="s">
        <v>87</v>
      </c>
      <c r="F75" s="42" t="s">
        <v>41</v>
      </c>
      <c r="G75" s="42" t="s">
        <v>88</v>
      </c>
      <c r="H75" s="43" t="s">
        <v>43</v>
      </c>
      <c r="I75" s="42" t="s">
        <v>44</v>
      </c>
      <c r="J75" s="44" t="s">
        <v>45</v>
      </c>
    </row>
    <row r="76" spans="1:11">
      <c r="A76" s="11"/>
      <c r="B76" s="12"/>
      <c r="C76" s="12"/>
      <c r="D76" s="12"/>
      <c r="E76" s="12"/>
      <c r="F76" s="12"/>
      <c r="G76" s="12"/>
      <c r="H76" s="12"/>
      <c r="I76" s="12"/>
      <c r="J76" s="3"/>
    </row>
    <row r="77" spans="1:11">
      <c r="A77" s="11"/>
      <c r="B77" s="12"/>
      <c r="C77" s="12"/>
      <c r="D77" s="12"/>
      <c r="E77" s="12"/>
      <c r="F77" s="12"/>
      <c r="G77" s="12"/>
      <c r="H77" s="12"/>
      <c r="I77" s="12"/>
      <c r="J77" s="3"/>
    </row>
    <row r="78" spans="1:11">
      <c r="A78" s="11"/>
      <c r="B78" s="12"/>
      <c r="C78" s="12"/>
      <c r="D78" s="12"/>
      <c r="E78" s="12"/>
      <c r="F78" s="12"/>
      <c r="G78" s="12"/>
      <c r="H78" s="12"/>
      <c r="I78" s="12"/>
      <c r="J78" s="3"/>
    </row>
    <row r="79" spans="1:11">
      <c r="A79" s="11"/>
      <c r="B79" s="12"/>
      <c r="C79" s="12"/>
      <c r="D79" s="12"/>
      <c r="E79" s="12"/>
      <c r="F79" s="12"/>
      <c r="G79" s="12"/>
      <c r="H79" s="12"/>
      <c r="I79" s="12"/>
      <c r="J79" s="3"/>
    </row>
    <row r="80" spans="1:11">
      <c r="A80" s="11"/>
      <c r="B80" s="12"/>
      <c r="C80" s="12"/>
      <c r="D80" s="12"/>
      <c r="E80" s="12"/>
      <c r="F80" s="12"/>
      <c r="G80" s="12"/>
      <c r="H80" s="12"/>
      <c r="I80" s="12"/>
      <c r="J80" s="3"/>
    </row>
    <row r="81" spans="1:10">
      <c r="A81" s="11"/>
      <c r="B81" s="12"/>
      <c r="C81" s="12"/>
      <c r="D81" s="12"/>
      <c r="E81" s="12"/>
      <c r="F81" s="12"/>
      <c r="G81" s="12"/>
      <c r="H81" s="12"/>
      <c r="I81" s="12"/>
      <c r="J81" s="3"/>
    </row>
    <row r="82" spans="1:10">
      <c r="A82" s="11"/>
      <c r="B82" s="12"/>
      <c r="C82" s="12"/>
      <c r="D82" s="12"/>
      <c r="E82" s="12"/>
      <c r="F82" s="12"/>
      <c r="G82" s="12"/>
      <c r="H82" s="12"/>
      <c r="I82" s="12"/>
      <c r="J82" s="3"/>
    </row>
    <row r="83" spans="1:10">
      <c r="A83" s="11"/>
      <c r="B83" s="12"/>
      <c r="C83" s="12"/>
      <c r="D83" s="12"/>
      <c r="E83" s="12"/>
      <c r="F83" s="12"/>
      <c r="G83" s="12"/>
      <c r="H83" s="12"/>
      <c r="I83" s="12"/>
      <c r="J83" s="3"/>
    </row>
    <row r="84" spans="1:10">
      <c r="A84" s="11"/>
      <c r="B84" s="12"/>
      <c r="C84" s="12"/>
      <c r="D84" s="12"/>
      <c r="E84" s="12"/>
      <c r="F84" s="12"/>
      <c r="G84" s="12"/>
      <c r="H84" s="12"/>
      <c r="I84" s="12"/>
      <c r="J84" s="3"/>
    </row>
    <row r="85" spans="1:10">
      <c r="A85" s="11"/>
      <c r="B85" s="12"/>
      <c r="C85" s="12"/>
      <c r="D85" s="12"/>
      <c r="E85" s="12"/>
      <c r="F85" s="12"/>
      <c r="G85" s="12"/>
      <c r="H85" s="12"/>
      <c r="I85" s="12"/>
      <c r="J85" s="3"/>
    </row>
    <row r="86" spans="1:10">
      <c r="A86" s="11"/>
      <c r="B86" s="12"/>
      <c r="C86" s="12"/>
      <c r="D86" s="12"/>
      <c r="E86" s="12"/>
      <c r="F86" s="12"/>
      <c r="G86" s="12"/>
      <c r="H86" s="12"/>
      <c r="I86" s="12"/>
      <c r="J86" s="3"/>
    </row>
    <row r="87" spans="1:10">
      <c r="A87" s="11"/>
      <c r="B87" s="12"/>
      <c r="C87" s="12"/>
      <c r="D87" s="12"/>
      <c r="E87" s="12"/>
      <c r="F87" s="12"/>
      <c r="G87" s="12"/>
      <c r="H87" s="12"/>
      <c r="I87" s="12"/>
      <c r="J87" s="3"/>
    </row>
    <row r="88" spans="1:10">
      <c r="A88" s="11"/>
      <c r="B88" s="12"/>
      <c r="C88" s="12"/>
      <c r="D88" s="12"/>
      <c r="E88" s="12"/>
      <c r="F88" s="12"/>
      <c r="G88" s="12"/>
      <c r="H88" s="12"/>
      <c r="I88" s="12"/>
      <c r="J88" s="3"/>
    </row>
    <row r="89" spans="1:10">
      <c r="A89" s="11"/>
      <c r="B89" s="12"/>
      <c r="C89" s="12"/>
      <c r="D89" s="12"/>
      <c r="E89" s="12"/>
      <c r="F89" s="12"/>
      <c r="G89" s="12"/>
      <c r="H89" s="12"/>
      <c r="I89" s="12"/>
      <c r="J89" s="3"/>
    </row>
    <row r="90" spans="1:10">
      <c r="A90" s="11"/>
      <c r="B90" s="12"/>
      <c r="C90" s="12"/>
      <c r="D90" s="12"/>
      <c r="E90" s="12"/>
      <c r="F90" s="12"/>
      <c r="G90" s="12"/>
      <c r="H90" s="12"/>
      <c r="I90" s="12"/>
      <c r="J90" s="3"/>
    </row>
    <row r="91" spans="1:10" ht="15" thickBot="1">
      <c r="A91" s="20"/>
      <c r="B91" s="21"/>
      <c r="C91" s="21"/>
      <c r="D91" s="21"/>
      <c r="E91" s="21"/>
      <c r="F91" s="21"/>
      <c r="G91" s="21"/>
      <c r="H91" s="21"/>
      <c r="I91" s="21"/>
      <c r="J91" s="22"/>
    </row>
    <row r="92" spans="1:10" ht="27.75" customHeight="1" thickBot="1">
      <c r="A92" s="389"/>
      <c r="B92" s="390"/>
      <c r="C92" s="390"/>
      <c r="D92" s="390"/>
      <c r="E92" s="390"/>
      <c r="F92" s="390"/>
      <c r="G92" s="390"/>
      <c r="H92" s="390"/>
      <c r="I92" s="390"/>
      <c r="J92" s="391"/>
    </row>
    <row r="93" spans="1:10" ht="31.5" customHeight="1" thickBot="1">
      <c r="A93" s="386" t="s">
        <v>50</v>
      </c>
      <c r="B93" s="387"/>
      <c r="C93" s="387"/>
      <c r="D93" s="387"/>
      <c r="E93" s="387"/>
      <c r="F93" s="387"/>
      <c r="G93" s="387"/>
      <c r="H93" s="387"/>
      <c r="I93" s="387"/>
      <c r="J93" s="388"/>
    </row>
    <row r="94" spans="1:10" ht="28.8">
      <c r="A94" s="41" t="s">
        <v>16</v>
      </c>
      <c r="B94" s="42" t="s">
        <v>36</v>
      </c>
      <c r="C94" s="42" t="s">
        <v>37</v>
      </c>
      <c r="D94" s="42" t="s">
        <v>38</v>
      </c>
      <c r="E94" s="42" t="s">
        <v>87</v>
      </c>
      <c r="F94" s="42" t="s">
        <v>41</v>
      </c>
      <c r="G94" s="42" t="s">
        <v>88</v>
      </c>
      <c r="H94" s="43" t="s">
        <v>43</v>
      </c>
      <c r="I94" s="42" t="s">
        <v>44</v>
      </c>
      <c r="J94" s="44" t="s">
        <v>45</v>
      </c>
    </row>
    <row r="95" spans="1:10">
      <c r="A95" s="11"/>
      <c r="B95" s="12"/>
      <c r="C95" s="12"/>
      <c r="D95" s="12"/>
      <c r="E95" s="12"/>
      <c r="F95" s="12"/>
      <c r="G95" s="12"/>
      <c r="H95" s="12"/>
      <c r="I95" s="12"/>
      <c r="J95" s="3"/>
    </row>
    <row r="96" spans="1:10">
      <c r="A96" s="11"/>
      <c r="B96" s="12"/>
      <c r="C96" s="12"/>
      <c r="D96" s="12"/>
      <c r="E96" s="12"/>
      <c r="F96" s="12"/>
      <c r="G96" s="12"/>
      <c r="H96" s="12"/>
      <c r="I96" s="12"/>
      <c r="J96" s="3"/>
    </row>
    <row r="97" spans="1:10">
      <c r="A97" s="11"/>
      <c r="B97" s="12"/>
      <c r="C97" s="12"/>
      <c r="D97" s="12"/>
      <c r="E97" s="12"/>
      <c r="F97" s="12"/>
      <c r="G97" s="12"/>
      <c r="H97" s="12"/>
      <c r="I97" s="12"/>
      <c r="J97" s="3"/>
    </row>
    <row r="98" spans="1:10">
      <c r="A98" s="11"/>
      <c r="B98" s="12"/>
      <c r="C98" s="12"/>
      <c r="D98" s="12"/>
      <c r="E98" s="12"/>
      <c r="F98" s="12"/>
      <c r="G98" s="12"/>
      <c r="H98" s="12"/>
      <c r="I98" s="12"/>
      <c r="J98" s="3"/>
    </row>
    <row r="99" spans="1:10">
      <c r="A99" s="11"/>
      <c r="B99" s="12"/>
      <c r="C99" s="12"/>
      <c r="D99" s="12"/>
      <c r="E99" s="12"/>
      <c r="F99" s="12"/>
      <c r="G99" s="12"/>
      <c r="H99" s="12"/>
      <c r="I99" s="12"/>
      <c r="J99" s="3"/>
    </row>
    <row r="100" spans="1:10">
      <c r="A100" s="13"/>
      <c r="B100" s="18"/>
      <c r="C100" s="17"/>
      <c r="D100" s="17"/>
      <c r="E100" s="18"/>
      <c r="F100" s="18"/>
      <c r="G100" s="17"/>
      <c r="H100" s="17"/>
      <c r="I100" s="17"/>
      <c r="J100" s="6"/>
    </row>
    <row r="101" spans="1:10">
      <c r="A101" s="13"/>
      <c r="B101" s="18"/>
      <c r="C101" s="17"/>
      <c r="D101" s="17"/>
      <c r="E101" s="18"/>
      <c r="F101" s="18"/>
      <c r="G101" s="17"/>
      <c r="H101" s="17"/>
      <c r="I101" s="17"/>
      <c r="J101" s="6"/>
    </row>
    <row r="102" spans="1:10">
      <c r="A102" s="13"/>
      <c r="B102" s="18"/>
      <c r="C102" s="17"/>
      <c r="D102" s="17"/>
      <c r="E102" s="18"/>
      <c r="F102" s="18"/>
      <c r="G102" s="17"/>
      <c r="H102" s="17"/>
      <c r="I102" s="17"/>
      <c r="J102" s="6"/>
    </row>
    <row r="103" spans="1:10">
      <c r="A103" s="13"/>
      <c r="B103" s="18"/>
      <c r="C103" s="17"/>
      <c r="D103" s="17"/>
      <c r="E103" s="18"/>
      <c r="F103" s="18"/>
      <c r="G103" s="17"/>
      <c r="H103" s="17"/>
      <c r="I103" s="17"/>
      <c r="J103" s="6"/>
    </row>
    <row r="104" spans="1:10">
      <c r="A104" s="13"/>
      <c r="B104" s="18"/>
      <c r="C104" s="17"/>
      <c r="D104" s="17"/>
      <c r="E104" s="18"/>
      <c r="F104" s="18"/>
      <c r="G104" s="17"/>
      <c r="H104" s="17"/>
      <c r="I104" s="17"/>
      <c r="J104" s="6"/>
    </row>
    <row r="105" spans="1:10">
      <c r="A105" s="13"/>
      <c r="B105" s="18"/>
      <c r="C105" s="17"/>
      <c r="D105" s="17"/>
      <c r="E105" s="18"/>
      <c r="F105" s="18"/>
      <c r="G105" s="17"/>
      <c r="H105" s="17"/>
      <c r="I105" s="17"/>
      <c r="J105" s="6"/>
    </row>
    <row r="106" spans="1:10">
      <c r="A106" s="13"/>
      <c r="B106" s="18"/>
      <c r="C106" s="17"/>
      <c r="D106" s="17"/>
      <c r="E106" s="18"/>
      <c r="F106" s="18"/>
      <c r="G106" s="17"/>
      <c r="H106" s="17"/>
      <c r="I106" s="17"/>
      <c r="J106" s="6"/>
    </row>
    <row r="107" spans="1:10">
      <c r="A107" s="13"/>
      <c r="B107" s="18"/>
      <c r="C107" s="17"/>
      <c r="D107" s="17"/>
      <c r="E107" s="18"/>
      <c r="F107" s="18"/>
      <c r="G107" s="17"/>
      <c r="H107" s="17"/>
      <c r="I107" s="17"/>
      <c r="J107" s="6"/>
    </row>
    <row r="108" spans="1:10">
      <c r="A108" s="13"/>
      <c r="B108" s="18"/>
      <c r="C108" s="17"/>
      <c r="D108" s="17"/>
      <c r="E108" s="18"/>
      <c r="F108" s="18"/>
      <c r="G108" s="17"/>
      <c r="H108" s="17"/>
      <c r="I108" s="17"/>
      <c r="J108" s="6"/>
    </row>
    <row r="109" spans="1:10">
      <c r="A109" s="13"/>
      <c r="B109" s="18"/>
      <c r="C109" s="17"/>
      <c r="D109" s="17"/>
      <c r="E109" s="18"/>
      <c r="F109" s="18"/>
      <c r="G109" s="17"/>
      <c r="H109" s="17"/>
      <c r="I109" s="17"/>
      <c r="J109" s="6"/>
    </row>
    <row r="110" spans="1:10">
      <c r="A110" s="13"/>
      <c r="B110" s="18"/>
      <c r="C110" s="17"/>
      <c r="D110" s="17"/>
      <c r="E110" s="18"/>
      <c r="F110" s="18"/>
      <c r="G110" s="17"/>
      <c r="H110" s="17"/>
      <c r="I110" s="17"/>
      <c r="J110" s="6"/>
    </row>
    <row r="111" spans="1:10">
      <c r="A111" s="13"/>
      <c r="B111" s="18"/>
      <c r="C111" s="17"/>
      <c r="D111" s="17"/>
      <c r="E111" s="18"/>
      <c r="F111" s="18"/>
      <c r="G111" s="17"/>
      <c r="H111" s="17"/>
      <c r="I111" s="17"/>
      <c r="J111" s="6"/>
    </row>
    <row r="112" spans="1:10">
      <c r="A112" s="13"/>
      <c r="B112" s="18"/>
      <c r="C112" s="17"/>
      <c r="D112" s="17"/>
      <c r="E112" s="18"/>
      <c r="F112" s="18"/>
      <c r="G112" s="17"/>
      <c r="H112" s="17"/>
      <c r="I112" s="17"/>
      <c r="J112" s="6"/>
    </row>
    <row r="113" spans="1:11" ht="15" thickBot="1">
      <c r="A113" s="4"/>
      <c r="B113" s="8"/>
      <c r="C113" s="15"/>
      <c r="D113" s="15"/>
      <c r="E113" s="8"/>
      <c r="F113" s="8"/>
      <c r="G113" s="15"/>
      <c r="H113" s="15"/>
      <c r="I113" s="15"/>
      <c r="J113" s="5"/>
    </row>
    <row r="114" spans="1:11" ht="48" customHeight="1" thickBot="1">
      <c r="A114" s="342"/>
      <c r="B114" s="342"/>
      <c r="C114" s="342"/>
      <c r="D114" s="342"/>
      <c r="E114" s="342"/>
      <c r="F114" s="342"/>
      <c r="G114" s="342"/>
      <c r="H114" s="342"/>
      <c r="I114" s="342"/>
      <c r="J114" s="342"/>
      <c r="K114" s="342"/>
    </row>
    <row r="115" spans="1:11" ht="33.75" customHeight="1" thickBot="1">
      <c r="A115" s="368" t="s">
        <v>63</v>
      </c>
      <c r="B115" s="369"/>
      <c r="C115" s="369"/>
      <c r="D115" s="369"/>
      <c r="E115" s="369"/>
      <c r="F115" s="369"/>
      <c r="G115" s="369"/>
      <c r="H115" s="369"/>
      <c r="I115" s="369"/>
      <c r="J115" s="369"/>
      <c r="K115" s="370"/>
    </row>
    <row r="116" spans="1:11">
      <c r="A116"/>
      <c r="B116"/>
      <c r="C116"/>
      <c r="D116"/>
      <c r="E116"/>
      <c r="F116"/>
      <c r="G116"/>
      <c r="H116"/>
      <c r="I116"/>
      <c r="J116"/>
    </row>
    <row r="117" spans="1:11">
      <c r="A117" s="373" t="s">
        <v>64</v>
      </c>
      <c r="B117" s="374"/>
      <c r="C117" s="374"/>
      <c r="D117" s="374"/>
      <c r="E117" s="375"/>
      <c r="F117" s="35"/>
      <c r="G117" s="376" t="s">
        <v>65</v>
      </c>
      <c r="H117" s="376"/>
      <c r="I117" s="376"/>
      <c r="J117" s="376"/>
      <c r="K117" s="376"/>
    </row>
    <row r="118" spans="1:11">
      <c r="A118" s="377"/>
      <c r="B118" s="378"/>
      <c r="C118" s="378"/>
      <c r="D118" s="378"/>
      <c r="E118" s="379"/>
      <c r="G118" s="350"/>
      <c r="H118" s="350"/>
      <c r="I118" s="350"/>
      <c r="J118" s="350"/>
      <c r="K118" s="350"/>
    </row>
    <row r="119" spans="1:11">
      <c r="A119" s="365"/>
      <c r="B119" s="353"/>
      <c r="C119" s="23" t="s">
        <v>66</v>
      </c>
      <c r="D119" s="23" t="s">
        <v>67</v>
      </c>
      <c r="E119" s="23" t="s">
        <v>68</v>
      </c>
      <c r="G119" s="23"/>
      <c r="H119" s="23" t="s">
        <v>69</v>
      </c>
      <c r="I119" s="23" t="s">
        <v>70</v>
      </c>
      <c r="J119" s="23" t="s">
        <v>26</v>
      </c>
      <c r="K119" s="23" t="s">
        <v>68</v>
      </c>
    </row>
    <row r="120" spans="1:11">
      <c r="A120" s="366" t="s">
        <v>71</v>
      </c>
      <c r="B120" s="367"/>
      <c r="C120" s="39"/>
      <c r="D120" s="39"/>
      <c r="E120" s="39"/>
      <c r="G120" s="37" t="s">
        <v>89</v>
      </c>
      <c r="H120" s="36"/>
      <c r="I120" s="12"/>
      <c r="J120" s="2"/>
      <c r="K120" s="2"/>
    </row>
    <row r="121" spans="1:11">
      <c r="A121" s="366" t="s">
        <v>73</v>
      </c>
      <c r="B121" s="367"/>
      <c r="C121" s="40"/>
      <c r="D121" s="36"/>
      <c r="E121" s="36"/>
      <c r="G121"/>
      <c r="H121"/>
      <c r="I121"/>
      <c r="J121"/>
    </row>
    <row r="122" spans="1:11">
      <c r="A122" s="380"/>
      <c r="B122" s="381"/>
      <c r="C122" s="381"/>
      <c r="D122" s="381"/>
      <c r="E122" s="382"/>
      <c r="G122" s="37" t="s">
        <v>90</v>
      </c>
      <c r="H122" s="36"/>
      <c r="I122" s="12"/>
      <c r="J122" s="2"/>
      <c r="K122" s="2"/>
    </row>
    <row r="123" spans="1:11">
      <c r="A123" s="366" t="s">
        <v>91</v>
      </c>
      <c r="B123" s="367"/>
      <c r="C123" s="12"/>
      <c r="D123" s="2"/>
      <c r="E123" s="2"/>
      <c r="G123"/>
      <c r="H123"/>
      <c r="I123"/>
      <c r="J123"/>
    </row>
    <row r="124" spans="1:11">
      <c r="A124" s="366" t="s">
        <v>92</v>
      </c>
      <c r="B124" s="367"/>
      <c r="C124" s="12"/>
      <c r="D124" s="2"/>
      <c r="E124" s="2"/>
      <c r="G124"/>
      <c r="H124"/>
      <c r="I124"/>
      <c r="J124"/>
    </row>
    <row r="125" spans="1:11">
      <c r="A125"/>
      <c r="B125"/>
      <c r="C125"/>
      <c r="D125"/>
      <c r="E125"/>
      <c r="G125"/>
      <c r="H125"/>
      <c r="I125"/>
      <c r="J125"/>
    </row>
    <row r="126" spans="1:11" ht="15" thickBot="1">
      <c r="A126"/>
      <c r="B126"/>
      <c r="C126"/>
      <c r="D126"/>
      <c r="E126"/>
      <c r="G126"/>
      <c r="H126"/>
      <c r="I126"/>
      <c r="J126"/>
    </row>
    <row r="127" spans="1:11" ht="33" customHeight="1" thickBot="1">
      <c r="A127" s="368" t="s">
        <v>82</v>
      </c>
      <c r="B127" s="369"/>
      <c r="C127" s="369"/>
      <c r="D127" s="369"/>
      <c r="E127" s="369"/>
      <c r="F127" s="369"/>
      <c r="G127" s="369"/>
      <c r="H127" s="369"/>
      <c r="I127" s="369"/>
      <c r="J127" s="369"/>
      <c r="K127" s="370"/>
    </row>
    <row r="128" spans="1:11">
      <c r="A128"/>
      <c r="B128"/>
      <c r="C128"/>
      <c r="D128"/>
      <c r="E128"/>
      <c r="F128"/>
      <c r="G128"/>
      <c r="H128"/>
      <c r="I128"/>
      <c r="J128"/>
    </row>
    <row r="129" spans="1:11">
      <c r="A129" s="376" t="s">
        <v>64</v>
      </c>
      <c r="B129" s="376"/>
      <c r="C129" s="376"/>
      <c r="D129" s="376"/>
      <c r="E129" s="376"/>
      <c r="F129" s="35"/>
      <c r="G129" s="376" t="s">
        <v>65</v>
      </c>
      <c r="H129" s="376"/>
      <c r="I129" s="376"/>
      <c r="J129" s="376"/>
      <c r="K129" s="376"/>
    </row>
    <row r="130" spans="1:11">
      <c r="A130" s="350"/>
      <c r="B130" s="350"/>
      <c r="C130" s="350"/>
      <c r="D130" s="350"/>
      <c r="E130" s="350"/>
      <c r="G130" s="350"/>
      <c r="H130" s="350"/>
      <c r="I130" s="350"/>
      <c r="J130" s="350"/>
      <c r="K130" s="350"/>
    </row>
    <row r="131" spans="1:11">
      <c r="A131" s="365"/>
      <c r="B131" s="353"/>
      <c r="C131" s="23" t="s">
        <v>66</v>
      </c>
      <c r="D131" s="23" t="s">
        <v>67</v>
      </c>
      <c r="E131" s="23" t="s">
        <v>68</v>
      </c>
      <c r="G131" s="23"/>
      <c r="H131" s="23" t="s">
        <v>69</v>
      </c>
      <c r="I131" s="23" t="s">
        <v>70</v>
      </c>
      <c r="J131" s="23" t="s">
        <v>26</v>
      </c>
      <c r="K131" s="23" t="s">
        <v>68</v>
      </c>
    </row>
    <row r="132" spans="1:11">
      <c r="A132" s="366" t="s">
        <v>71</v>
      </c>
      <c r="B132" s="367"/>
      <c r="C132" s="39"/>
      <c r="D132" s="39"/>
      <c r="E132" s="39"/>
      <c r="G132" s="37" t="s">
        <v>89</v>
      </c>
      <c r="H132" s="36"/>
      <c r="I132" s="12"/>
      <c r="J132" s="2"/>
      <c r="K132" s="2"/>
    </row>
    <row r="133" spans="1:11">
      <c r="A133" s="366" t="s">
        <v>73</v>
      </c>
      <c r="B133" s="367"/>
      <c r="C133" s="40"/>
      <c r="D133" s="36"/>
      <c r="E133" s="36"/>
      <c r="G133"/>
      <c r="H133"/>
      <c r="I133"/>
      <c r="J133"/>
    </row>
    <row r="134" spans="1:11">
      <c r="A134" s="380"/>
      <c r="B134" s="381"/>
      <c r="C134" s="381"/>
      <c r="D134" s="381"/>
      <c r="E134" s="382"/>
      <c r="G134" s="37" t="s">
        <v>90</v>
      </c>
      <c r="H134" s="36"/>
      <c r="I134" s="12"/>
      <c r="J134" s="2"/>
      <c r="K134" s="2"/>
    </row>
    <row r="135" spans="1:11">
      <c r="A135" s="366" t="s">
        <v>91</v>
      </c>
      <c r="B135" s="367"/>
      <c r="C135" s="12"/>
      <c r="D135" s="2"/>
      <c r="E135" s="2"/>
      <c r="G135"/>
      <c r="H135"/>
      <c r="I135"/>
      <c r="J135"/>
    </row>
    <row r="136" spans="1:11">
      <c r="A136" s="366" t="s">
        <v>92</v>
      </c>
      <c r="B136" s="367"/>
      <c r="C136" s="12"/>
      <c r="D136" s="2"/>
      <c r="E136" s="2"/>
      <c r="G136"/>
      <c r="H136"/>
      <c r="I136"/>
      <c r="J136"/>
    </row>
    <row r="137" spans="1:11">
      <c r="A137" s="38"/>
      <c r="B137" s="38"/>
      <c r="D137"/>
      <c r="E137"/>
      <c r="G137"/>
      <c r="H137"/>
      <c r="I137"/>
      <c r="J137"/>
    </row>
    <row r="138" spans="1:11" ht="15" thickBot="1">
      <c r="A138"/>
      <c r="B138"/>
      <c r="C138"/>
      <c r="D138"/>
      <c r="E138"/>
      <c r="F138"/>
      <c r="G138"/>
      <c r="H138"/>
      <c r="I138"/>
      <c r="J138"/>
    </row>
    <row r="139" spans="1:11" ht="31.5" customHeight="1">
      <c r="A139" s="416" t="s">
        <v>85</v>
      </c>
      <c r="B139" s="417"/>
      <c r="C139" s="417"/>
      <c r="D139" s="417"/>
      <c r="E139" s="417"/>
      <c r="F139" s="417"/>
      <c r="G139" s="417"/>
      <c r="H139" s="417"/>
      <c r="I139" s="417"/>
      <c r="J139" s="417"/>
      <c r="K139" s="418"/>
    </row>
    <row r="140" spans="1:11">
      <c r="A140"/>
      <c r="B140"/>
      <c r="C140"/>
      <c r="D140"/>
      <c r="E140"/>
      <c r="F140"/>
      <c r="G140"/>
      <c r="H140"/>
      <c r="I140"/>
      <c r="J140"/>
    </row>
    <row r="141" spans="1:11">
      <c r="A141" s="376" t="s">
        <v>65</v>
      </c>
      <c r="B141" s="376"/>
      <c r="C141" s="376"/>
      <c r="D141"/>
      <c r="E141"/>
      <c r="F141"/>
      <c r="G141"/>
      <c r="H141"/>
      <c r="I141"/>
      <c r="J141"/>
    </row>
    <row r="142" spans="1:11">
      <c r="A142" s="350"/>
      <c r="B142" s="350"/>
      <c r="C142" s="350"/>
      <c r="D142"/>
      <c r="E142"/>
      <c r="F142"/>
      <c r="G142"/>
      <c r="H142"/>
      <c r="I142"/>
      <c r="J142"/>
    </row>
    <row r="143" spans="1:11">
      <c r="A143" s="414"/>
      <c r="B143" s="414"/>
      <c r="C143" s="23" t="s">
        <v>68</v>
      </c>
      <c r="D143"/>
      <c r="E143"/>
      <c r="F143"/>
      <c r="G143"/>
      <c r="H143"/>
      <c r="I143"/>
      <c r="J143"/>
    </row>
    <row r="144" spans="1:11">
      <c r="A144" s="415" t="s">
        <v>72</v>
      </c>
      <c r="B144" s="415"/>
      <c r="C144" s="46"/>
      <c r="D144"/>
      <c r="E144"/>
      <c r="F144"/>
      <c r="G144"/>
      <c r="H144"/>
      <c r="I144"/>
      <c r="J144"/>
    </row>
    <row r="145" spans="1:10" ht="24" customHeight="1">
      <c r="A145" s="415" t="s">
        <v>77</v>
      </c>
      <c r="B145" s="415"/>
      <c r="C145" s="46"/>
      <c r="D145"/>
      <c r="E145"/>
      <c r="F145"/>
      <c r="G145"/>
      <c r="H145"/>
      <c r="I145"/>
      <c r="J145"/>
    </row>
    <row r="146" spans="1:10">
      <c r="A146" s="415" t="s">
        <v>78</v>
      </c>
      <c r="B146" s="415"/>
      <c r="C146" s="46"/>
      <c r="D146"/>
    </row>
    <row r="147" spans="1:10">
      <c r="A147" s="415" t="s">
        <v>79</v>
      </c>
      <c r="B147" s="415"/>
      <c r="C147" s="46"/>
      <c r="D147"/>
    </row>
    <row r="148" spans="1:10">
      <c r="A148"/>
      <c r="B148"/>
      <c r="C148"/>
      <c r="D148"/>
      <c r="E148"/>
      <c r="F148"/>
      <c r="G148"/>
      <c r="H148"/>
      <c r="I148"/>
      <c r="J148"/>
    </row>
    <row r="149" spans="1:10">
      <c r="A149"/>
      <c r="B149"/>
      <c r="C149"/>
      <c r="D149"/>
      <c r="E149"/>
      <c r="F149"/>
      <c r="G149"/>
      <c r="H149"/>
      <c r="I149"/>
      <c r="J149"/>
    </row>
    <row r="150" spans="1:10">
      <c r="A150"/>
      <c r="B150"/>
      <c r="C150"/>
      <c r="D150"/>
      <c r="E150"/>
      <c r="F150"/>
      <c r="G150"/>
      <c r="H150"/>
      <c r="I150"/>
      <c r="J150"/>
    </row>
    <row r="151" spans="1:10">
      <c r="A151"/>
      <c r="B151"/>
      <c r="C151"/>
      <c r="D151"/>
      <c r="E151"/>
      <c r="F151"/>
      <c r="G151"/>
      <c r="H151"/>
      <c r="I151"/>
      <c r="J151"/>
    </row>
    <row r="152" spans="1:10">
      <c r="A152"/>
      <c r="B152"/>
      <c r="C152"/>
      <c r="D152"/>
      <c r="E152"/>
      <c r="F152"/>
      <c r="G152"/>
      <c r="H152"/>
      <c r="I152"/>
      <c r="J152"/>
    </row>
    <row r="153" spans="1:10" ht="24" customHeight="1">
      <c r="A153"/>
      <c r="B153"/>
      <c r="C153"/>
      <c r="D153"/>
      <c r="E153"/>
      <c r="F153"/>
      <c r="G153"/>
      <c r="H153"/>
      <c r="I153"/>
      <c r="J153"/>
    </row>
    <row r="154" spans="1:10">
      <c r="A154"/>
      <c r="B154"/>
      <c r="C154"/>
      <c r="D154"/>
      <c r="E154"/>
      <c r="F154"/>
      <c r="G154"/>
      <c r="H154"/>
      <c r="I154"/>
      <c r="J154"/>
    </row>
    <row r="155" spans="1:10">
      <c r="A155"/>
      <c r="B155"/>
      <c r="C155"/>
      <c r="D155"/>
      <c r="E155"/>
      <c r="F155"/>
      <c r="G155"/>
      <c r="H155"/>
      <c r="I155"/>
      <c r="J155"/>
    </row>
    <row r="156" spans="1:10">
      <c r="A156"/>
      <c r="B156"/>
      <c r="C156"/>
      <c r="D156"/>
      <c r="E156"/>
      <c r="F156"/>
      <c r="G156"/>
      <c r="H156"/>
      <c r="I156"/>
      <c r="J156"/>
    </row>
    <row r="157" spans="1:10">
      <c r="A157"/>
      <c r="B157"/>
      <c r="C157"/>
      <c r="D157"/>
      <c r="E157"/>
      <c r="F157"/>
      <c r="G157"/>
      <c r="H157"/>
      <c r="I157"/>
      <c r="J157"/>
    </row>
    <row r="158" spans="1:10">
      <c r="A158"/>
      <c r="B158"/>
      <c r="C158"/>
      <c r="D158"/>
      <c r="E158"/>
      <c r="F158"/>
      <c r="G158"/>
      <c r="H158"/>
      <c r="I158"/>
      <c r="J158"/>
    </row>
    <row r="159" spans="1:10">
      <c r="A159"/>
      <c r="B159"/>
      <c r="C159"/>
      <c r="D159"/>
      <c r="E159"/>
      <c r="F159"/>
      <c r="G159"/>
      <c r="H159"/>
      <c r="I159"/>
      <c r="J159"/>
    </row>
    <row r="160" spans="1:10">
      <c r="A160"/>
      <c r="B160"/>
      <c r="C160"/>
      <c r="D160"/>
      <c r="E160"/>
      <c r="F160"/>
      <c r="G160"/>
      <c r="H160"/>
      <c r="I160"/>
      <c r="J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spans="1:11">
      <c r="A209"/>
      <c r="B209"/>
      <c r="C209"/>
      <c r="D209"/>
      <c r="E209"/>
      <c r="F209"/>
      <c r="G209"/>
      <c r="H209"/>
      <c r="I209"/>
      <c r="J209"/>
    </row>
    <row r="210" spans="1:11">
      <c r="A210"/>
      <c r="B210"/>
      <c r="C210"/>
      <c r="D210"/>
      <c r="E210"/>
      <c r="F210"/>
      <c r="G210"/>
      <c r="H210"/>
      <c r="I210"/>
      <c r="J210"/>
    </row>
    <row r="211" spans="1:11">
      <c r="A211"/>
      <c r="B211"/>
      <c r="C211"/>
      <c r="D211"/>
      <c r="E211"/>
      <c r="F211"/>
      <c r="G211"/>
      <c r="H211"/>
      <c r="I211"/>
      <c r="J211"/>
    </row>
    <row r="212" spans="1:11">
      <c r="A212"/>
      <c r="B212"/>
      <c r="C212"/>
      <c r="D212"/>
      <c r="E212"/>
      <c r="F212"/>
      <c r="G212"/>
      <c r="H212"/>
      <c r="I212"/>
      <c r="J212"/>
    </row>
    <row r="213" spans="1:11">
      <c r="A213"/>
      <c r="B213"/>
      <c r="C213"/>
      <c r="D213"/>
      <c r="E213"/>
      <c r="F213"/>
      <c r="G213"/>
      <c r="H213"/>
      <c r="I213"/>
      <c r="J213"/>
    </row>
    <row r="214" spans="1:11">
      <c r="A214"/>
      <c r="B214"/>
      <c r="C214"/>
      <c r="D214"/>
      <c r="E214"/>
      <c r="F214"/>
      <c r="G214"/>
      <c r="H214"/>
      <c r="I214"/>
      <c r="J214"/>
    </row>
    <row r="215" spans="1:11">
      <c r="A215"/>
      <c r="B215"/>
      <c r="C215"/>
      <c r="D215"/>
      <c r="E215"/>
      <c r="F215"/>
      <c r="G215"/>
      <c r="H215"/>
      <c r="I215"/>
      <c r="J215"/>
    </row>
    <row r="216" spans="1:11">
      <c r="A216"/>
      <c r="B216"/>
      <c r="C216"/>
      <c r="D216"/>
      <c r="E216"/>
      <c r="F216"/>
      <c r="G216"/>
      <c r="H216"/>
      <c r="I216"/>
      <c r="J216"/>
    </row>
    <row r="217" spans="1:11">
      <c r="A217"/>
      <c r="B217"/>
      <c r="C217"/>
      <c r="D217"/>
      <c r="E217"/>
      <c r="F217"/>
      <c r="G217"/>
      <c r="H217"/>
      <c r="I217"/>
      <c r="J217"/>
    </row>
    <row r="218" spans="1:11">
      <c r="A218"/>
      <c r="B218"/>
      <c r="C218"/>
      <c r="D218"/>
      <c r="E218"/>
      <c r="F218"/>
      <c r="G218"/>
      <c r="H218"/>
      <c r="I218"/>
      <c r="J218"/>
    </row>
    <row r="220" spans="1:11" ht="15" thickBot="1"/>
    <row r="221" spans="1:11" ht="31.5" customHeight="1" thickBot="1">
      <c r="A221" s="368" t="s">
        <v>82</v>
      </c>
      <c r="B221" s="369"/>
      <c r="C221" s="369"/>
      <c r="D221" s="369"/>
      <c r="E221" s="369"/>
      <c r="F221" s="369"/>
      <c r="G221" s="369"/>
      <c r="H221" s="369"/>
      <c r="I221" s="369"/>
      <c r="J221" s="369"/>
      <c r="K221" s="370"/>
    </row>
    <row r="222" spans="1:11">
      <c r="A222" s="360"/>
      <c r="B222" s="340"/>
      <c r="C222" s="340"/>
      <c r="D222" s="340"/>
      <c r="E222" s="340"/>
      <c r="F222" s="340"/>
      <c r="G222" s="340"/>
      <c r="H222" s="340"/>
      <c r="I222" s="340"/>
      <c r="J222" s="340"/>
      <c r="K222" s="341"/>
    </row>
    <row r="223" spans="1:11" ht="15" thickBot="1">
      <c r="A223" s="361"/>
      <c r="B223" s="342"/>
      <c r="C223" s="342"/>
      <c r="D223" s="342"/>
      <c r="E223" s="342"/>
      <c r="F223" s="342"/>
      <c r="G223" s="342"/>
      <c r="H223" s="342"/>
      <c r="I223" s="342"/>
      <c r="J223" s="342"/>
      <c r="K223" s="343"/>
    </row>
    <row r="224" spans="1:11">
      <c r="A224" s="346" t="s">
        <v>93</v>
      </c>
      <c r="B224" s="347"/>
      <c r="C224" s="347"/>
      <c r="D224" s="347"/>
      <c r="E224" s="348"/>
      <c r="F224" s="342"/>
      <c r="G224" s="346" t="s">
        <v>65</v>
      </c>
      <c r="H224" s="347"/>
      <c r="I224" s="347"/>
      <c r="J224" s="347"/>
      <c r="K224" s="348"/>
    </row>
    <row r="225" spans="1:11">
      <c r="A225" s="349" t="s">
        <v>35</v>
      </c>
      <c r="B225" s="350"/>
      <c r="C225" s="350"/>
      <c r="D225" s="350"/>
      <c r="E225" s="351"/>
      <c r="F225" s="342"/>
      <c r="G225" s="349" t="s">
        <v>35</v>
      </c>
      <c r="H225" s="350"/>
      <c r="I225" s="350"/>
      <c r="J225" s="350"/>
      <c r="K225" s="351"/>
    </row>
    <row r="226" spans="1:11">
      <c r="A226" s="352"/>
      <c r="B226" s="353"/>
      <c r="C226" s="23" t="s">
        <v>94</v>
      </c>
      <c r="D226" s="23" t="s">
        <v>95</v>
      </c>
      <c r="E226" s="28" t="s">
        <v>96</v>
      </c>
      <c r="F226" s="342"/>
      <c r="G226" s="352"/>
      <c r="H226" s="353"/>
      <c r="I226" s="23" t="s">
        <v>97</v>
      </c>
      <c r="J226" s="23" t="s">
        <v>98</v>
      </c>
      <c r="K226" s="28" t="s">
        <v>96</v>
      </c>
    </row>
    <row r="227" spans="1:11">
      <c r="A227" s="354" t="s">
        <v>99</v>
      </c>
      <c r="B227" s="355"/>
      <c r="C227" s="12"/>
      <c r="D227" s="2"/>
      <c r="E227" s="3"/>
      <c r="F227" s="342"/>
      <c r="G227" s="354" t="s">
        <v>100</v>
      </c>
      <c r="H227" s="355"/>
      <c r="I227" s="12"/>
      <c r="J227" s="2"/>
      <c r="K227" s="3"/>
    </row>
    <row r="228" spans="1:11">
      <c r="A228" s="354" t="s">
        <v>101</v>
      </c>
      <c r="B228" s="355"/>
      <c r="C228" s="12"/>
      <c r="D228" s="2"/>
      <c r="E228" s="3"/>
      <c r="F228" s="342"/>
      <c r="G228" s="354" t="s">
        <v>102</v>
      </c>
      <c r="H228" s="355"/>
      <c r="I228" s="12"/>
      <c r="J228" s="2"/>
      <c r="K228" s="3"/>
    </row>
    <row r="229" spans="1:11">
      <c r="A229" s="354" t="s">
        <v>103</v>
      </c>
      <c r="B229" s="355"/>
      <c r="C229" s="12"/>
      <c r="D229" s="2"/>
      <c r="E229" s="3"/>
      <c r="F229" s="342"/>
      <c r="G229" s="354" t="s">
        <v>104</v>
      </c>
      <c r="H229" s="355"/>
      <c r="I229" s="12"/>
      <c r="J229" s="2"/>
      <c r="K229" s="3"/>
    </row>
    <row r="230" spans="1:11">
      <c r="A230" s="349" t="s">
        <v>50</v>
      </c>
      <c r="B230" s="350"/>
      <c r="C230" s="350"/>
      <c r="D230" s="350"/>
      <c r="E230" s="351"/>
      <c r="F230" s="342"/>
      <c r="G230" s="358" t="s">
        <v>105</v>
      </c>
      <c r="H230" s="359"/>
      <c r="I230" s="356"/>
      <c r="J230" s="357"/>
      <c r="K230" s="14"/>
    </row>
    <row r="231" spans="1:11">
      <c r="A231" s="352"/>
      <c r="B231" s="353"/>
      <c r="C231" s="23" t="s">
        <v>94</v>
      </c>
      <c r="D231" s="23" t="s">
        <v>95</v>
      </c>
      <c r="E231" s="28" t="s">
        <v>96</v>
      </c>
      <c r="F231" s="342"/>
      <c r="G231" s="349" t="s">
        <v>50</v>
      </c>
      <c r="H231" s="350"/>
      <c r="I231" s="350"/>
      <c r="J231" s="350"/>
      <c r="K231" s="351"/>
    </row>
    <row r="232" spans="1:11">
      <c r="A232" s="354" t="s">
        <v>99</v>
      </c>
      <c r="B232" s="355"/>
      <c r="C232" s="12"/>
      <c r="D232" s="2"/>
      <c r="E232" s="3"/>
      <c r="F232" s="342"/>
      <c r="G232" s="352"/>
      <c r="H232" s="353"/>
      <c r="I232" s="23" t="s">
        <v>97</v>
      </c>
      <c r="J232" s="23" t="s">
        <v>98</v>
      </c>
      <c r="K232" s="28" t="s">
        <v>96</v>
      </c>
    </row>
    <row r="233" spans="1:11">
      <c r="A233" s="354" t="s">
        <v>101</v>
      </c>
      <c r="B233" s="355"/>
      <c r="C233" s="12"/>
      <c r="D233" s="2"/>
      <c r="E233" s="3"/>
      <c r="F233" s="342"/>
      <c r="G233" s="354" t="s">
        <v>100</v>
      </c>
      <c r="H233" s="355"/>
      <c r="I233" s="12"/>
      <c r="J233" s="2"/>
      <c r="K233" s="3"/>
    </row>
    <row r="234" spans="1:11">
      <c r="A234" s="354" t="s">
        <v>103</v>
      </c>
      <c r="B234" s="355"/>
      <c r="C234" s="12"/>
      <c r="D234" s="2"/>
      <c r="E234" s="3"/>
      <c r="F234" s="342"/>
      <c r="G234" s="354" t="s">
        <v>102</v>
      </c>
      <c r="H234" s="355"/>
      <c r="I234" s="12"/>
      <c r="J234" s="2"/>
      <c r="K234" s="3"/>
    </row>
    <row r="235" spans="1:11">
      <c r="A235" s="349" t="s">
        <v>68</v>
      </c>
      <c r="B235" s="350"/>
      <c r="C235" s="350"/>
      <c r="D235" s="350"/>
      <c r="E235" s="351"/>
      <c r="F235" s="342"/>
      <c r="G235" s="354" t="s">
        <v>104</v>
      </c>
      <c r="H235" s="355"/>
      <c r="I235" s="12"/>
      <c r="J235" s="2"/>
      <c r="K235" s="3"/>
    </row>
    <row r="236" spans="1:11">
      <c r="A236" s="352"/>
      <c r="B236" s="353"/>
      <c r="C236" s="23" t="s">
        <v>94</v>
      </c>
      <c r="D236" s="23" t="s">
        <v>95</v>
      </c>
      <c r="E236" s="28" t="s">
        <v>96</v>
      </c>
      <c r="F236" s="342"/>
      <c r="G236" s="358" t="s">
        <v>105</v>
      </c>
      <c r="H236" s="359"/>
      <c r="I236" s="356"/>
      <c r="J236" s="357"/>
      <c r="K236" s="14"/>
    </row>
    <row r="237" spans="1:11">
      <c r="A237" s="354" t="s">
        <v>99</v>
      </c>
      <c r="B237" s="355"/>
      <c r="C237" s="12"/>
      <c r="D237" s="2"/>
      <c r="E237" s="3"/>
      <c r="F237" s="342"/>
      <c r="G237" s="349" t="s">
        <v>68</v>
      </c>
      <c r="H237" s="350"/>
      <c r="I237" s="350"/>
      <c r="J237" s="350"/>
      <c r="K237" s="351"/>
    </row>
    <row r="238" spans="1:11">
      <c r="A238" s="354" t="s">
        <v>101</v>
      </c>
      <c r="B238" s="355"/>
      <c r="C238" s="12"/>
      <c r="D238" s="2"/>
      <c r="E238" s="3"/>
      <c r="F238" s="342"/>
      <c r="G238" s="352"/>
      <c r="H238" s="353"/>
      <c r="I238" s="23" t="s">
        <v>97</v>
      </c>
      <c r="J238" s="23" t="s">
        <v>98</v>
      </c>
      <c r="K238" s="28" t="s">
        <v>96</v>
      </c>
    </row>
    <row r="239" spans="1:11" ht="15" thickBot="1">
      <c r="A239" s="363" t="s">
        <v>103</v>
      </c>
      <c r="B239" s="364"/>
      <c r="C239" s="15"/>
      <c r="D239" s="8"/>
      <c r="E239" s="5"/>
      <c r="F239" s="342"/>
      <c r="G239" s="354" t="s">
        <v>100</v>
      </c>
      <c r="H239" s="355"/>
      <c r="I239" s="12"/>
      <c r="J239" s="2"/>
      <c r="K239" s="3"/>
    </row>
    <row r="240" spans="1:11">
      <c r="A240" s="360"/>
      <c r="B240" s="340"/>
      <c r="C240" s="340"/>
      <c r="D240" s="340"/>
      <c r="E240" s="340"/>
      <c r="F240" s="342"/>
      <c r="G240" s="354" t="s">
        <v>102</v>
      </c>
      <c r="H240" s="355"/>
      <c r="I240" s="12"/>
      <c r="J240" s="2"/>
      <c r="K240" s="3"/>
    </row>
    <row r="241" spans="1:11">
      <c r="A241" s="361"/>
      <c r="B241" s="342"/>
      <c r="C241" s="342"/>
      <c r="D241" s="342"/>
      <c r="E241" s="342"/>
      <c r="F241" s="342"/>
      <c r="G241" s="354" t="s">
        <v>104</v>
      </c>
      <c r="H241" s="355"/>
      <c r="I241" s="12"/>
      <c r="J241" s="2"/>
      <c r="K241" s="3"/>
    </row>
    <row r="242" spans="1:11" ht="15" thickBot="1">
      <c r="A242" s="361"/>
      <c r="B242" s="342"/>
      <c r="C242" s="342"/>
      <c r="D242" s="342"/>
      <c r="E242" s="342"/>
      <c r="F242" s="342"/>
      <c r="G242" s="336" t="s">
        <v>105</v>
      </c>
      <c r="H242" s="337"/>
      <c r="I242" s="338"/>
      <c r="J242" s="339"/>
      <c r="K242" s="19"/>
    </row>
    <row r="243" spans="1:11">
      <c r="A243" s="361"/>
      <c r="B243" s="342"/>
      <c r="C243" s="342"/>
      <c r="D243" s="342"/>
      <c r="E243" s="342"/>
      <c r="F243" s="342"/>
      <c r="G243" s="340"/>
      <c r="H243" s="340"/>
      <c r="I243" s="340"/>
      <c r="J243" s="340"/>
      <c r="K243" s="341"/>
    </row>
    <row r="244" spans="1:11" ht="15" thickBot="1">
      <c r="A244" s="362"/>
      <c r="B244" s="344"/>
      <c r="C244" s="344"/>
      <c r="D244" s="344"/>
      <c r="E244" s="344"/>
      <c r="F244" s="342"/>
      <c r="G244" s="342"/>
      <c r="H244" s="342"/>
      <c r="I244" s="342"/>
      <c r="J244" s="342"/>
      <c r="K244" s="343"/>
    </row>
    <row r="245" spans="1:11">
      <c r="A245" s="346" t="s">
        <v>106</v>
      </c>
      <c r="B245" s="347"/>
      <c r="C245" s="347"/>
      <c r="D245" s="347"/>
      <c r="E245" s="348"/>
      <c r="F245" s="342"/>
      <c r="G245" s="342"/>
      <c r="H245" s="342"/>
      <c r="I245" s="342"/>
      <c r="J245" s="342"/>
      <c r="K245" s="343"/>
    </row>
    <row r="246" spans="1:11">
      <c r="A246" s="349" t="s">
        <v>35</v>
      </c>
      <c r="B246" s="350"/>
      <c r="C246" s="350"/>
      <c r="D246" s="350"/>
      <c r="E246" s="351"/>
      <c r="F246" s="342"/>
      <c r="G246" s="342"/>
      <c r="H246" s="342"/>
      <c r="I246" s="342"/>
      <c r="J246" s="342"/>
      <c r="K246" s="343"/>
    </row>
    <row r="247" spans="1:11">
      <c r="A247" s="352"/>
      <c r="B247" s="353"/>
      <c r="C247" s="23" t="s">
        <v>97</v>
      </c>
      <c r="D247" s="23" t="s">
        <v>98</v>
      </c>
      <c r="E247" s="28" t="s">
        <v>96</v>
      </c>
      <c r="F247" s="342"/>
      <c r="G247" s="342"/>
      <c r="H247" s="342"/>
      <c r="I247" s="342"/>
      <c r="J247" s="342"/>
      <c r="K247" s="343"/>
    </row>
    <row r="248" spans="1:11">
      <c r="A248" s="354" t="s">
        <v>100</v>
      </c>
      <c r="B248" s="355"/>
      <c r="C248" s="12"/>
      <c r="D248" s="2"/>
      <c r="E248" s="3"/>
      <c r="F248" s="342"/>
      <c r="G248" s="342"/>
      <c r="H248" s="342"/>
      <c r="I248" s="342"/>
      <c r="J248" s="342"/>
      <c r="K248" s="343"/>
    </row>
    <row r="249" spans="1:11">
      <c r="A249" s="354" t="s">
        <v>102</v>
      </c>
      <c r="B249" s="355"/>
      <c r="C249" s="12"/>
      <c r="D249" s="2"/>
      <c r="E249" s="3"/>
      <c r="F249" s="342"/>
      <c r="G249" s="342"/>
      <c r="H249" s="342"/>
      <c r="I249" s="342"/>
      <c r="J249" s="342"/>
      <c r="K249" s="343"/>
    </row>
    <row r="250" spans="1:11">
      <c r="A250" s="354" t="s">
        <v>104</v>
      </c>
      <c r="B250" s="355"/>
      <c r="C250" s="12"/>
      <c r="D250" s="2"/>
      <c r="E250" s="3"/>
      <c r="F250" s="342"/>
      <c r="G250" s="342"/>
      <c r="H250" s="342"/>
      <c r="I250" s="342"/>
      <c r="J250" s="342"/>
      <c r="K250" s="343"/>
    </row>
    <row r="251" spans="1:11">
      <c r="A251" s="358" t="s">
        <v>105</v>
      </c>
      <c r="B251" s="359"/>
      <c r="C251" s="356"/>
      <c r="D251" s="357"/>
      <c r="E251" s="14"/>
      <c r="F251" s="342"/>
      <c r="G251" s="342"/>
      <c r="H251" s="342"/>
      <c r="I251" s="342"/>
      <c r="J251" s="342"/>
      <c r="K251" s="343"/>
    </row>
    <row r="252" spans="1:11">
      <c r="A252" s="349" t="s">
        <v>50</v>
      </c>
      <c r="B252" s="350"/>
      <c r="C252" s="350"/>
      <c r="D252" s="350"/>
      <c r="E252" s="351"/>
      <c r="F252" s="342"/>
      <c r="G252" s="342"/>
      <c r="H252" s="342"/>
      <c r="I252" s="342"/>
      <c r="J252" s="342"/>
      <c r="K252" s="343"/>
    </row>
    <row r="253" spans="1:11">
      <c r="A253" s="352"/>
      <c r="B253" s="353"/>
      <c r="C253" s="23" t="s">
        <v>97</v>
      </c>
      <c r="D253" s="23" t="s">
        <v>98</v>
      </c>
      <c r="E253" s="28" t="s">
        <v>96</v>
      </c>
      <c r="F253" s="342"/>
      <c r="G253" s="342"/>
      <c r="H253" s="342"/>
      <c r="I253" s="342"/>
      <c r="J253" s="342"/>
      <c r="K253" s="343"/>
    </row>
    <row r="254" spans="1:11">
      <c r="A254" s="354" t="s">
        <v>100</v>
      </c>
      <c r="B254" s="355"/>
      <c r="C254" s="12"/>
      <c r="D254" s="2"/>
      <c r="E254" s="3"/>
      <c r="F254" s="342"/>
      <c r="G254" s="342"/>
      <c r="H254" s="342"/>
      <c r="I254" s="342"/>
      <c r="J254" s="342"/>
      <c r="K254" s="343"/>
    </row>
    <row r="255" spans="1:11">
      <c r="A255" s="354" t="s">
        <v>102</v>
      </c>
      <c r="B255" s="355"/>
      <c r="C255" s="12"/>
      <c r="D255" s="2"/>
      <c r="E255" s="3"/>
      <c r="F255" s="342"/>
      <c r="G255" s="342"/>
      <c r="H255" s="342"/>
      <c r="I255" s="342"/>
      <c r="J255" s="342"/>
      <c r="K255" s="343"/>
    </row>
    <row r="256" spans="1:11">
      <c r="A256" s="354" t="s">
        <v>104</v>
      </c>
      <c r="B256" s="355"/>
      <c r="C256" s="12"/>
      <c r="D256" s="2"/>
      <c r="E256" s="3"/>
      <c r="F256" s="342"/>
      <c r="G256" s="342"/>
      <c r="H256" s="342"/>
      <c r="I256" s="342"/>
      <c r="J256" s="342"/>
      <c r="K256" s="343"/>
    </row>
    <row r="257" spans="1:11">
      <c r="A257" s="358" t="s">
        <v>105</v>
      </c>
      <c r="B257" s="359"/>
      <c r="C257" s="356"/>
      <c r="D257" s="357"/>
      <c r="E257" s="14"/>
      <c r="F257" s="342"/>
      <c r="G257" s="342"/>
      <c r="H257" s="342"/>
      <c r="I257" s="342"/>
      <c r="J257" s="342"/>
      <c r="K257" s="343"/>
    </row>
    <row r="258" spans="1:11">
      <c r="A258" s="349" t="s">
        <v>68</v>
      </c>
      <c r="B258" s="350"/>
      <c r="C258" s="350"/>
      <c r="D258" s="350"/>
      <c r="E258" s="351"/>
      <c r="F258" s="342"/>
      <c r="G258" s="342"/>
      <c r="H258" s="342"/>
      <c r="I258" s="342"/>
      <c r="J258" s="342"/>
      <c r="K258" s="343"/>
    </row>
    <row r="259" spans="1:11">
      <c r="A259" s="352"/>
      <c r="B259" s="353"/>
      <c r="C259" s="23" t="s">
        <v>97</v>
      </c>
      <c r="D259" s="23" t="s">
        <v>98</v>
      </c>
      <c r="E259" s="28" t="s">
        <v>96</v>
      </c>
      <c r="F259" s="342"/>
      <c r="G259" s="342"/>
      <c r="H259" s="342"/>
      <c r="I259" s="342"/>
      <c r="J259" s="342"/>
      <c r="K259" s="343"/>
    </row>
    <row r="260" spans="1:11">
      <c r="A260" s="354" t="s">
        <v>100</v>
      </c>
      <c r="B260" s="355"/>
      <c r="C260" s="12"/>
      <c r="D260" s="2"/>
      <c r="E260" s="3"/>
      <c r="F260" s="342"/>
      <c r="G260" s="342"/>
      <c r="H260" s="342"/>
      <c r="I260" s="342"/>
      <c r="J260" s="342"/>
      <c r="K260" s="343"/>
    </row>
    <row r="261" spans="1:11">
      <c r="A261" s="354" t="s">
        <v>102</v>
      </c>
      <c r="B261" s="355"/>
      <c r="C261" s="12"/>
      <c r="D261" s="2"/>
      <c r="E261" s="3"/>
      <c r="F261" s="342"/>
      <c r="G261" s="342"/>
      <c r="H261" s="342"/>
      <c r="I261" s="342"/>
      <c r="J261" s="342"/>
      <c r="K261" s="343"/>
    </row>
    <row r="262" spans="1:11">
      <c r="A262" s="354" t="s">
        <v>104</v>
      </c>
      <c r="B262" s="355"/>
      <c r="C262" s="12"/>
      <c r="D262" s="2"/>
      <c r="E262" s="3"/>
      <c r="F262" s="342"/>
      <c r="G262" s="342"/>
      <c r="H262" s="342"/>
      <c r="I262" s="342"/>
      <c r="J262" s="342"/>
      <c r="K262" s="343"/>
    </row>
    <row r="263" spans="1:11" ht="15" thickBot="1">
      <c r="A263" s="336" t="s">
        <v>105</v>
      </c>
      <c r="B263" s="337"/>
      <c r="C263" s="8"/>
      <c r="D263" s="8"/>
      <c r="E263" s="19"/>
      <c r="F263" s="344"/>
      <c r="G263" s="344"/>
      <c r="H263" s="344"/>
      <c r="I263" s="344"/>
      <c r="J263" s="344"/>
      <c r="K263" s="345"/>
    </row>
    <row r="266" spans="1:11" ht="24" customHeight="1">
      <c r="A266"/>
      <c r="B266"/>
      <c r="C266"/>
      <c r="D266"/>
      <c r="E266"/>
      <c r="F266"/>
      <c r="G266"/>
      <c r="H266"/>
      <c r="I266"/>
      <c r="J266"/>
    </row>
  </sheetData>
  <dataConsolidate/>
  <mergeCells count="120">
    <mergeCell ref="A123:B123"/>
    <mergeCell ref="A124:B124"/>
    <mergeCell ref="A143:B143"/>
    <mergeCell ref="A144:B144"/>
    <mergeCell ref="A145:B145"/>
    <mergeCell ref="A146:B146"/>
    <mergeCell ref="A147:B147"/>
    <mergeCell ref="A136:B136"/>
    <mergeCell ref="A139:K139"/>
    <mergeCell ref="A135:B135"/>
    <mergeCell ref="A141:C141"/>
    <mergeCell ref="A142:C142"/>
    <mergeCell ref="A1:K1"/>
    <mergeCell ref="A2:K2"/>
    <mergeCell ref="A92:J92"/>
    <mergeCell ref="A93:J93"/>
    <mergeCell ref="A74:J74"/>
    <mergeCell ref="A5:C5"/>
    <mergeCell ref="D5:E5"/>
    <mergeCell ref="F5:I5"/>
    <mergeCell ref="J5:K5"/>
    <mergeCell ref="A6:K6"/>
    <mergeCell ref="A7:K7"/>
    <mergeCell ref="A3:K3"/>
    <mergeCell ref="A4:C4"/>
    <mergeCell ref="D4:E4"/>
    <mergeCell ref="F4:I4"/>
    <mergeCell ref="J4:K4"/>
    <mergeCell ref="A73:K73"/>
    <mergeCell ref="A36:K36"/>
    <mergeCell ref="A37:K37"/>
    <mergeCell ref="A70:K70"/>
    <mergeCell ref="A228:B228"/>
    <mergeCell ref="G228:H228"/>
    <mergeCell ref="A229:B229"/>
    <mergeCell ref="A71:K71"/>
    <mergeCell ref="A72:C72"/>
    <mergeCell ref="D72:E72"/>
    <mergeCell ref="F72:I72"/>
    <mergeCell ref="J72:K72"/>
    <mergeCell ref="A117:E117"/>
    <mergeCell ref="G117:K117"/>
    <mergeCell ref="A118:E118"/>
    <mergeCell ref="G118:K118"/>
    <mergeCell ref="A122:E122"/>
    <mergeCell ref="A127:K127"/>
    <mergeCell ref="A114:K114"/>
    <mergeCell ref="A115:K115"/>
    <mergeCell ref="A129:E129"/>
    <mergeCell ref="G129:K129"/>
    <mergeCell ref="A130:E130"/>
    <mergeCell ref="G130:K130"/>
    <mergeCell ref="A131:B131"/>
    <mergeCell ref="A132:B132"/>
    <mergeCell ref="A133:B133"/>
    <mergeCell ref="A134:E134"/>
    <mergeCell ref="A257:B257"/>
    <mergeCell ref="G240:H240"/>
    <mergeCell ref="G241:H241"/>
    <mergeCell ref="A119:B119"/>
    <mergeCell ref="A120:B120"/>
    <mergeCell ref="A121:B121"/>
    <mergeCell ref="A221:K221"/>
    <mergeCell ref="A222:K223"/>
    <mergeCell ref="A224:E224"/>
    <mergeCell ref="F224:F263"/>
    <mergeCell ref="G224:K224"/>
    <mergeCell ref="A225:E225"/>
    <mergeCell ref="G225:K225"/>
    <mergeCell ref="A226:B226"/>
    <mergeCell ref="G226:H226"/>
    <mergeCell ref="A227:B227"/>
    <mergeCell ref="I230:J230"/>
    <mergeCell ref="A231:B231"/>
    <mergeCell ref="G231:K231"/>
    <mergeCell ref="A232:B232"/>
    <mergeCell ref="G232:H232"/>
    <mergeCell ref="A233:B233"/>
    <mergeCell ref="G233:H233"/>
    <mergeCell ref="G227:H227"/>
    <mergeCell ref="G229:H229"/>
    <mergeCell ref="A230:E230"/>
    <mergeCell ref="G230:H230"/>
    <mergeCell ref="I236:J236"/>
    <mergeCell ref="A237:B237"/>
    <mergeCell ref="G237:K237"/>
    <mergeCell ref="A238:B238"/>
    <mergeCell ref="G238:H238"/>
    <mergeCell ref="A239:B239"/>
    <mergeCell ref="G239:H239"/>
    <mergeCell ref="A234:B234"/>
    <mergeCell ref="G234:H234"/>
    <mergeCell ref="A235:E235"/>
    <mergeCell ref="G235:H235"/>
    <mergeCell ref="A236:B236"/>
    <mergeCell ref="G236:H236"/>
    <mergeCell ref="G242:H242"/>
    <mergeCell ref="I242:J242"/>
    <mergeCell ref="G243:K263"/>
    <mergeCell ref="A245:E245"/>
    <mergeCell ref="A246:E246"/>
    <mergeCell ref="A247:B247"/>
    <mergeCell ref="A248:B248"/>
    <mergeCell ref="C257:D257"/>
    <mergeCell ref="A258:E258"/>
    <mergeCell ref="A249:B249"/>
    <mergeCell ref="A250:B250"/>
    <mergeCell ref="A251:B251"/>
    <mergeCell ref="C251:D251"/>
    <mergeCell ref="A252:E252"/>
    <mergeCell ref="A253:B253"/>
    <mergeCell ref="A240:E244"/>
    <mergeCell ref="A259:B259"/>
    <mergeCell ref="A260:B260"/>
    <mergeCell ref="A261:B261"/>
    <mergeCell ref="A262:B262"/>
    <mergeCell ref="A263:B263"/>
    <mergeCell ref="A254:B254"/>
    <mergeCell ref="A255:B255"/>
    <mergeCell ref="A256:B256"/>
  </mergeCells>
  <conditionalFormatting sqref="F9:F35">
    <cfRule type="expression" dxfId="272" priority="2">
      <formula>AND(E9="SI",F9="SI")</formula>
    </cfRule>
  </conditionalFormatting>
  <conditionalFormatting sqref="G9:G35">
    <cfRule type="expression" dxfId="271" priority="1">
      <formula>AND(E9="SI",G9="SI")</formula>
    </cfRule>
  </conditionalFormatting>
  <conditionalFormatting sqref="E27 E29 E31 E33 E35 E9">
    <cfRule type="expression" dxfId="270" priority="3">
      <formula>_xlfn.XOR(E9="-",OR(B9=#REF!,B9=#REF!,B9=#REF!,B9=#REF!,B9=#REF!,B9=#REF!,B9=#REF!,B9=#REF!,B9=#REF!,B9=#REF!))</formula>
    </cfRule>
  </conditionalFormatting>
  <conditionalFormatting sqref="F9:F35">
    <cfRule type="expression" dxfId="269" priority="4">
      <formula>AND(F9&lt;&gt;"-",OR(B9=#REF!,B9=#REF!,B9=#REF!,B9=#REF!,B9=#REF!,B9=#REF!,B9=#REF!,B9=#REF!,B9=#REF!))</formula>
    </cfRule>
  </conditionalFormatting>
  <conditionalFormatting sqref="G9:G35">
    <cfRule type="expression" dxfId="268" priority="5">
      <formula>AND(G9&lt;&gt;"-",OR(B9=#REF!,B9=#REF!,B9=#REF!,B9=#REF!,B9=#REF!,B9=#REF!,B9=#REF!,B9=#REF!,B9=#REF!))</formula>
    </cfRule>
  </conditionalFormatting>
  <conditionalFormatting sqref="E28 E30 E32 E34 E10">
    <cfRule type="expression" dxfId="267" priority="6">
      <formula>_xlfn.XOR(E10="-",OR(B10=#REF!,B10=#REF!,B10=#REF!,B10=#REF!,B10=#REF!,B10=#REF!,B10=#REF!,B10=#REF!,B10=#REF!,B10=#REF!))</formula>
    </cfRule>
  </conditionalFormatting>
  <conditionalFormatting sqref="E19">
    <cfRule type="expression" dxfId="266" priority="7">
      <formula>_xlfn.XOR(E19="-",OR(B19=#REF!,B19=#REF!,B19=#REF!,B19=#REF!,B19=#REF!,B19=#REF!,B19=#REF!,B19=#REF!,B19=#REF!,B19=#REF!))</formula>
    </cfRule>
  </conditionalFormatting>
  <conditionalFormatting sqref="E21">
    <cfRule type="expression" dxfId="265" priority="8">
      <formula>_xlfn.XOR(E21="-",OR(B21=#REF!,B21=#REF!,B21=#REF!,B21=#REF!,B21=#REF!,B21=#REF!,B21=#REF!,B21=#REF!,B21=#REF!,B21=#REF!))</formula>
    </cfRule>
  </conditionalFormatting>
  <conditionalFormatting sqref="E23">
    <cfRule type="expression" dxfId="264" priority="9">
      <formula>_xlfn.XOR(E23="-",OR(B23=#REF!,B23=#REF!,B23=#REF!,B23=#REF!,B23=#REF!,B23=#REF!,B23=#REF!,B23=#REF!,B23=#REF!,B23=#REF!))</formula>
    </cfRule>
  </conditionalFormatting>
  <conditionalFormatting sqref="E25">
    <cfRule type="expression" dxfId="263" priority="10">
      <formula>_xlfn.XOR(E25="-",OR(B25=#REF!,B25=#REF!,B25=#REF!,B25=#REF!,B25=#REF!,B25=#REF!,B25=#REF!,B25=#REF!,B25=#REF!,B25=#REF!))</formula>
    </cfRule>
  </conditionalFormatting>
  <conditionalFormatting sqref="E20">
    <cfRule type="expression" dxfId="262" priority="11">
      <formula>_xlfn.XOR(E20="-",OR(B20=#REF!,B20=#REF!,B20=#REF!,B20=#REF!,B20=#REF!,B20=#REF!,B20=#REF!,B20=#REF!,B20=#REF!,B20=#REF!))</formula>
    </cfRule>
  </conditionalFormatting>
  <conditionalFormatting sqref="E22">
    <cfRule type="expression" dxfId="261" priority="12">
      <formula>_xlfn.XOR(E22="-",OR(B22=#REF!,B22=#REF!,B22=#REF!,B22=#REF!,B22=#REF!,B22=#REF!,B22=#REF!,B22=#REF!,B22=#REF!,B22=#REF!))</formula>
    </cfRule>
  </conditionalFormatting>
  <conditionalFormatting sqref="E24">
    <cfRule type="expression" dxfId="260" priority="13">
      <formula>_xlfn.XOR(E24="-",OR(B24=#REF!,B24=#REF!,B24=#REF!,B24=#REF!,B24=#REF!,B24=#REF!,B24=#REF!,B24=#REF!,B24=#REF!,B24=#REF!))</formula>
    </cfRule>
  </conditionalFormatting>
  <conditionalFormatting sqref="E26">
    <cfRule type="expression" dxfId="259" priority="14">
      <formula>_xlfn.XOR(E26="-",OR(B26=#REF!,B26=#REF!,B26=#REF!,B26=#REF!,B26=#REF!,B26=#REF!,B26=#REF!,B26=#REF!,B26=#REF!,B26=#REF!))</formula>
    </cfRule>
  </conditionalFormatting>
  <conditionalFormatting sqref="E12">
    <cfRule type="expression" dxfId="258" priority="15">
      <formula>_xlfn.XOR(E12="-",OR(B12=#REF!,B12=#REF!,B12=#REF!,B12=#REF!,B12=#REF!,B12=#REF!,B12=#REF!,B12=#REF!,B12=#REF!,B12=#REF!))</formula>
    </cfRule>
  </conditionalFormatting>
  <conditionalFormatting sqref="E11">
    <cfRule type="expression" dxfId="257" priority="16">
      <formula>_xlfn.XOR(E11="-",OR(B11=#REF!,B11=#REF!,B11=#REF!,B11=#REF!,B11=#REF!,B11=#REF!,B11=#REF!,B11=#REF!,B11=#REF!,B11=#REF!))</formula>
    </cfRule>
  </conditionalFormatting>
  <conditionalFormatting sqref="E13">
    <cfRule type="expression" dxfId="256" priority="17">
      <formula>_xlfn.XOR(E13="-",OR(B13=#REF!,B13=#REF!,B13=#REF!,B13=#REF!,B13=#REF!,B13=#REF!,B13=#REF!,B13=#REF!,B13=#REF!,B13=#REF!))</formula>
    </cfRule>
  </conditionalFormatting>
  <conditionalFormatting sqref="E14">
    <cfRule type="expression" dxfId="255" priority="18">
      <formula>_xlfn.XOR(E14="-",OR(B14=#REF!,B14=#REF!,B14=#REF!,B14=#REF!,B14=#REF!,B14=#REF!,B14=#REF!,B14=#REF!,B14=#REF!,B14=#REF!))</formula>
    </cfRule>
  </conditionalFormatting>
  <conditionalFormatting sqref="E15">
    <cfRule type="expression" dxfId="254" priority="19">
      <formula>_xlfn.XOR(E15="-",OR(B15=#REF!,B15=#REF!,B15=#REF!,B15=#REF!,B15=#REF!,B15=#REF!,B15=#REF!,B15=#REF!,B15=#REF!,B15=#REF!))</formula>
    </cfRule>
  </conditionalFormatting>
  <conditionalFormatting sqref="E16">
    <cfRule type="expression" dxfId="253" priority="20">
      <formula>_xlfn.XOR(E16="-",OR(B16=#REF!,B16=#REF!,B16=#REF!,B16=#REF!,B16=#REF!,B16=#REF!,B16=#REF!,B16=#REF!,B16=#REF!,B16=#REF!))</formula>
    </cfRule>
  </conditionalFormatting>
  <conditionalFormatting sqref="E17">
    <cfRule type="expression" dxfId="252" priority="21">
      <formula>_xlfn.XOR(E17="-",OR(B17=#REF!,B17=#REF!,B17=#REF!,B17=#REF!,B17=#REF!,B17=#REF!,B17=#REF!,B17=#REF!,B17=#REF!,B17=#REF!))</formula>
    </cfRule>
  </conditionalFormatting>
  <conditionalFormatting sqref="E18">
    <cfRule type="expression" dxfId="251" priority="22">
      <formula>_xlfn.XOR(E18="-",OR(B18=#REF!,B18=#REF!,B18=#REF!,B18=#REF!,B18=#REF!,B18=#REF!,B18=#REF!,B18=#REF!,B18=#REF!,B18=#REF!))</formula>
    </cfRule>
  </conditionalFormatting>
  <dataValidations count="5">
    <dataValidation type="list" allowBlank="1" showInputMessage="1" showErrorMessage="1" sqref="I9:I35" xr:uid="{0DF10217-11FB-4DD5-9C71-C6F168035DCB}">
      <formula1>"ELÉCTRICO, HOT GAS, TIEMPO"</formula1>
    </dataValidation>
    <dataValidation type="list" allowBlank="1" showInputMessage="1" showErrorMessage="1" sqref="F9:H35 F39:I39" xr:uid="{A01E3C1A-442E-4309-BE78-8F671C76A0F8}">
      <formula1>"SI,NO"</formula1>
    </dataValidation>
    <dataValidation type="list" allowBlank="1" showInputMessage="1" showErrorMessage="1" sqref="E9:E35 E39" xr:uid="{5626D64F-D1A5-4BC9-8832-A3343D635B1D}">
      <formula1>"SI,NO,-"</formula1>
    </dataValidation>
    <dataValidation type="decimal" allowBlank="1" showInputMessage="1" showErrorMessage="1" sqref="D9:D35 D100:D113 D39:D69" xr:uid="{D7F90D5F-5035-4F70-8C77-9BC47D3E4AC1}">
      <formula1>0</formula1>
      <formula2>200</formula2>
    </dataValidation>
    <dataValidation type="list" allowBlank="1" showInputMessage="1" showErrorMessage="1" sqref="B39:B69 B9:B35" xr:uid="{BCD886A7-1CA3-479C-A800-8BF1553EF13E}">
      <formula1>#REF!</formula1>
    </dataValidation>
  </dataValidations>
  <pageMargins left="0.7" right="0.7" top="0.75" bottom="0.75" header="0.3" footer="0.3"/>
  <pageSetup paperSize="9" scale="47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A396B-6826-43DA-AA0F-64810C5BC17A}">
  <sheetPr codeName="Hoja3"/>
  <dimension ref="A2:AD627"/>
  <sheetViews>
    <sheetView topLeftCell="A175" zoomScale="70" zoomScaleNormal="70" workbookViewId="0">
      <selection activeCell="E214" sqref="E214"/>
    </sheetView>
  </sheetViews>
  <sheetFormatPr defaultColWidth="11.44140625" defaultRowHeight="14.4"/>
  <cols>
    <col min="1" max="2" width="20.44140625" customWidth="1"/>
    <col min="3" max="3" width="23.44140625" customWidth="1"/>
    <col min="4" max="4" width="23" customWidth="1"/>
    <col min="5" max="7" width="23.77734375" customWidth="1"/>
    <col min="8" max="8" width="24.21875" customWidth="1"/>
    <col min="9" max="9" width="24.77734375" customWidth="1"/>
    <col min="10" max="11" width="25.5546875" customWidth="1"/>
    <col min="12" max="13" width="20" customWidth="1"/>
    <col min="14" max="14" width="14.77734375" customWidth="1"/>
    <col min="15" max="15" width="15.21875" customWidth="1"/>
    <col min="16" max="16" width="24.77734375" customWidth="1"/>
    <col min="17" max="17" width="25.21875" customWidth="1"/>
    <col min="18" max="18" width="32.44140625" customWidth="1"/>
    <col min="19" max="20" width="33" customWidth="1"/>
    <col min="21" max="21" width="30.44140625" customWidth="1"/>
    <col min="22" max="23" width="20.44140625" customWidth="1"/>
    <col min="24" max="24" width="19.21875" bestFit="1" customWidth="1"/>
    <col min="25" max="25" width="24.77734375" bestFit="1" customWidth="1"/>
    <col min="26" max="26" width="16.77734375" customWidth="1"/>
    <col min="27" max="27" width="20.77734375" customWidth="1"/>
    <col min="28" max="28" width="31.21875" customWidth="1"/>
    <col min="29" max="29" width="29.44140625" customWidth="1"/>
    <col min="30" max="30" width="14.21875" customWidth="1"/>
  </cols>
  <sheetData>
    <row r="2" spans="1:30">
      <c r="A2" s="49" t="s">
        <v>107</v>
      </c>
      <c r="B2" s="50" t="s">
        <v>108</v>
      </c>
      <c r="C2" s="50" t="s">
        <v>109</v>
      </c>
      <c r="D2" s="50" t="s">
        <v>110</v>
      </c>
      <c r="E2" s="50" t="s">
        <v>111</v>
      </c>
      <c r="F2" s="50" t="s">
        <v>112</v>
      </c>
      <c r="G2" s="50" t="s">
        <v>477</v>
      </c>
      <c r="H2" s="50" t="s">
        <v>113</v>
      </c>
      <c r="I2" s="50" t="s">
        <v>114</v>
      </c>
      <c r="J2" s="50" t="s">
        <v>115</v>
      </c>
      <c r="K2" s="50" t="s">
        <v>116</v>
      </c>
      <c r="L2" s="50" t="s">
        <v>117</v>
      </c>
      <c r="M2" s="50" t="s">
        <v>118</v>
      </c>
      <c r="N2" s="50" t="s">
        <v>119</v>
      </c>
      <c r="O2" s="50" t="s">
        <v>120</v>
      </c>
      <c r="P2" s="50" t="s">
        <v>121</v>
      </c>
      <c r="Q2" s="50" t="s">
        <v>122</v>
      </c>
      <c r="R2" s="50" t="s">
        <v>123</v>
      </c>
      <c r="S2" s="50" t="s">
        <v>124</v>
      </c>
      <c r="T2" s="50" t="s">
        <v>125</v>
      </c>
      <c r="U2" s="51" t="s">
        <v>474</v>
      </c>
      <c r="V2" s="50" t="s">
        <v>475</v>
      </c>
      <c r="W2" s="50" t="s">
        <v>476</v>
      </c>
      <c r="Y2" t="s">
        <v>278</v>
      </c>
    </row>
    <row r="3" spans="1:30">
      <c r="A3" s="52">
        <v>4801501</v>
      </c>
      <c r="B3" s="53" t="s">
        <v>152</v>
      </c>
      <c r="C3" s="53" t="s">
        <v>153</v>
      </c>
      <c r="D3" s="53" t="s">
        <v>154</v>
      </c>
      <c r="E3" s="53" t="s">
        <v>155</v>
      </c>
      <c r="F3" s="54">
        <v>84</v>
      </c>
      <c r="G3" s="114">
        <f>(101325*EXP(-Ciudades[[#This Row],[Altitud]]/((101325/(9.8*1.293)))))/6895</f>
        <v>14.541867079114386</v>
      </c>
      <c r="H3" s="114">
        <f>(101325*(1-(Ciudades[[#This Row],[Altitud]]*0.00651*8.314*1.293/101325))^(9.8/(0.00651*8.314)))/6895</f>
        <v>14.541862647658794</v>
      </c>
      <c r="I3" s="55">
        <v>30.7</v>
      </c>
      <c r="J3" s="55">
        <v>30.7</v>
      </c>
      <c r="K3" s="55">
        <v>30.8</v>
      </c>
      <c r="L3" s="55">
        <v>30.5</v>
      </c>
      <c r="M3" s="55">
        <v>30.1</v>
      </c>
      <c r="N3" s="55">
        <v>29.5</v>
      </c>
      <c r="O3" s="55">
        <v>30</v>
      </c>
      <c r="P3" s="55">
        <v>31.1</v>
      </c>
      <c r="Q3" s="55">
        <v>31.6</v>
      </c>
      <c r="R3" s="55">
        <v>31.6</v>
      </c>
      <c r="S3" s="55">
        <v>31.3</v>
      </c>
      <c r="T3" s="55">
        <v>30.8</v>
      </c>
      <c r="U3" s="56">
        <v>30.7</v>
      </c>
      <c r="V3" s="55">
        <v>22.5</v>
      </c>
      <c r="W3" s="117">
        <v>25.9</v>
      </c>
      <c r="Y3" t="s">
        <v>268</v>
      </c>
    </row>
    <row r="4" spans="1:30">
      <c r="A4" s="52">
        <v>2701507</v>
      </c>
      <c r="B4" s="53" t="s">
        <v>152</v>
      </c>
      <c r="C4" s="53" t="s">
        <v>156</v>
      </c>
      <c r="D4" s="53" t="s">
        <v>157</v>
      </c>
      <c r="E4" s="53" t="s">
        <v>158</v>
      </c>
      <c r="F4" s="54">
        <v>1490</v>
      </c>
      <c r="G4" s="114">
        <f>(101325*EXP(-Ciudades[[#This Row],[Altitud]]/((101325/(9.8*1.293)))))/6895</f>
        <v>12.197142939044376</v>
      </c>
      <c r="H4" s="114">
        <f>(101325*(1-(Ciudades[[#This Row],[Altitud]]*0.00651*8.314*1.293/101325))^(9.8/(0.00651*8.314)))/6895</f>
        <v>12.195972742493167</v>
      </c>
      <c r="I4" s="55">
        <v>27.8</v>
      </c>
      <c r="J4" s="55">
        <v>28.2</v>
      </c>
      <c r="K4" s="55">
        <v>28.1</v>
      </c>
      <c r="L4" s="55">
        <v>27.6</v>
      </c>
      <c r="M4" s="55">
        <v>27.8</v>
      </c>
      <c r="N4" s="55">
        <v>28.2</v>
      </c>
      <c r="O4" s="55">
        <v>28.4</v>
      </c>
      <c r="P4" s="55">
        <v>28.5</v>
      </c>
      <c r="Q4" s="55">
        <v>28</v>
      </c>
      <c r="R4" s="55">
        <v>27.2</v>
      </c>
      <c r="S4" s="55">
        <v>27.1</v>
      </c>
      <c r="T4" s="55">
        <v>27.2</v>
      </c>
      <c r="U4" s="56">
        <v>27.8</v>
      </c>
      <c r="V4" s="55">
        <v>17.399999999999999</v>
      </c>
      <c r="W4" s="55">
        <v>22.5</v>
      </c>
      <c r="Y4" t="s">
        <v>625</v>
      </c>
    </row>
    <row r="5" spans="1:30">
      <c r="A5" s="52">
        <v>1201502</v>
      </c>
      <c r="B5" s="53" t="s">
        <v>159</v>
      </c>
      <c r="C5" s="53" t="s">
        <v>160</v>
      </c>
      <c r="D5" s="53" t="s">
        <v>161</v>
      </c>
      <c r="E5" s="53" t="s">
        <v>158</v>
      </c>
      <c r="F5" s="54">
        <v>23</v>
      </c>
      <c r="G5" s="114">
        <f>(101325*EXP(-Ciudades[[#This Row],[Altitud]]/((101325/(9.8*1.293)))))/6895</f>
        <v>14.653223573258316</v>
      </c>
      <c r="H5" s="114">
        <f>(101325*(1-(Ciudades[[#This Row],[Altitud]]*0.00651*8.314*1.293/101325))^(9.8/(0.00651*8.314)))/6895</f>
        <v>14.65322323849008</v>
      </c>
      <c r="I5" s="55">
        <v>30.8</v>
      </c>
      <c r="J5" s="55">
        <v>31</v>
      </c>
      <c r="K5" s="55">
        <v>31.3</v>
      </c>
      <c r="L5" s="55">
        <v>31.3</v>
      </c>
      <c r="M5" s="55">
        <v>31.4</v>
      </c>
      <c r="N5" s="55">
        <v>31.4</v>
      </c>
      <c r="O5" s="55">
        <v>31.4</v>
      </c>
      <c r="P5" s="55">
        <v>31.4</v>
      </c>
      <c r="Q5" s="55">
        <v>31.4</v>
      </c>
      <c r="R5" s="55">
        <v>31.4</v>
      </c>
      <c r="S5" s="55">
        <v>30.9</v>
      </c>
      <c r="T5" s="55">
        <v>30.7</v>
      </c>
      <c r="U5" s="56">
        <v>31.2</v>
      </c>
      <c r="V5" s="55">
        <v>23.5</v>
      </c>
      <c r="W5" s="55">
        <v>26.6</v>
      </c>
      <c r="Y5" t="s">
        <v>631</v>
      </c>
    </row>
    <row r="6" spans="1:30">
      <c r="A6" s="52">
        <v>3705501</v>
      </c>
      <c r="B6" s="53" t="s">
        <v>152</v>
      </c>
      <c r="C6" s="53" t="s">
        <v>162</v>
      </c>
      <c r="D6" s="53" t="s">
        <v>163</v>
      </c>
      <c r="E6" s="53" t="s">
        <v>163</v>
      </c>
      <c r="F6" s="54">
        <v>128</v>
      </c>
      <c r="G6" s="114">
        <f>(101325*EXP(-Ciudades[[#This Row],[Altitud]]/((101325/(9.8*1.293)))))/6895</f>
        <v>14.462070085618612</v>
      </c>
      <c r="H6" s="114">
        <f>(101325*(1-(Ciudades[[#This Row],[Altitud]]*0.00651*8.314*1.293/101325))^(9.8/(0.00651*8.314)))/6895</f>
        <v>14.462059852058172</v>
      </c>
      <c r="I6" s="55">
        <v>33.1</v>
      </c>
      <c r="J6" s="55">
        <v>34.299999999999997</v>
      </c>
      <c r="K6" s="55">
        <v>34.6</v>
      </c>
      <c r="L6" s="55">
        <v>33.200000000000003</v>
      </c>
      <c r="M6" s="55">
        <v>31.2</v>
      </c>
      <c r="N6" s="55">
        <v>30</v>
      </c>
      <c r="O6" s="55">
        <v>29.9</v>
      </c>
      <c r="P6" s="55">
        <v>30.6</v>
      </c>
      <c r="Q6" s="55">
        <v>31.5</v>
      </c>
      <c r="R6" s="55">
        <v>31.7</v>
      </c>
      <c r="S6" s="55">
        <v>31.5</v>
      </c>
      <c r="T6" s="55">
        <v>31.9</v>
      </c>
      <c r="U6" s="56">
        <v>32</v>
      </c>
      <c r="V6" s="55">
        <v>22.4</v>
      </c>
      <c r="W6" s="55">
        <v>26.9</v>
      </c>
      <c r="Y6" t="s">
        <v>626</v>
      </c>
    </row>
    <row r="7" spans="1:30">
      <c r="A7" s="52">
        <v>2904502</v>
      </c>
      <c r="B7" s="53" t="s">
        <v>152</v>
      </c>
      <c r="C7" s="53" t="s">
        <v>164</v>
      </c>
      <c r="D7" s="53" t="s">
        <v>165</v>
      </c>
      <c r="E7" s="53" t="s">
        <v>166</v>
      </c>
      <c r="F7" s="54">
        <v>14</v>
      </c>
      <c r="G7" s="114">
        <f>(101325*EXP(-Ciudades[[#This Row],[Altitud]]/((101325/(9.8*1.293)))))/6895</f>
        <v>14.669725250882575</v>
      </c>
      <c r="H7" s="114">
        <f>(101325*(1-(Ciudades[[#This Row],[Altitud]]*0.00651*8.314*1.293/101325))^(9.8/(0.00651*8.314)))/6895</f>
        <v>14.669725126708292</v>
      </c>
      <c r="I7" s="55">
        <v>31.4</v>
      </c>
      <c r="J7" s="55">
        <v>31.7</v>
      </c>
      <c r="K7" s="55">
        <v>32.4</v>
      </c>
      <c r="L7" s="55">
        <v>33.1</v>
      </c>
      <c r="M7" s="55">
        <v>33.4</v>
      </c>
      <c r="N7" s="55">
        <v>33.200000000000003</v>
      </c>
      <c r="O7" s="55">
        <v>32.9</v>
      </c>
      <c r="P7" s="55">
        <v>33.299999999999997</v>
      </c>
      <c r="Q7" s="55">
        <v>33</v>
      </c>
      <c r="R7" s="55">
        <v>32.5</v>
      </c>
      <c r="S7" s="55">
        <v>32.200000000000003</v>
      </c>
      <c r="T7" s="55">
        <v>31.7</v>
      </c>
      <c r="U7" s="56">
        <v>32.6</v>
      </c>
      <c r="V7" s="55">
        <v>24.3</v>
      </c>
      <c r="W7" s="55">
        <v>27.6</v>
      </c>
      <c r="Y7" t="s">
        <v>627</v>
      </c>
    </row>
    <row r="8" spans="1:30">
      <c r="A8" s="52">
        <v>1401502</v>
      </c>
      <c r="B8" s="53" t="s">
        <v>152</v>
      </c>
      <c r="C8" s="53" t="s">
        <v>167</v>
      </c>
      <c r="D8" s="53" t="s">
        <v>168</v>
      </c>
      <c r="E8" s="53" t="s">
        <v>169</v>
      </c>
      <c r="F8" s="54">
        <v>2</v>
      </c>
      <c r="G8" s="114">
        <f>(101325*EXP(-Ciudades[[#This Row],[Altitud]]/((101325/(9.8*1.293)))))/6895</f>
        <v>14.691756398699086</v>
      </c>
      <c r="H8" s="114">
        <f>(101325*(1-(Ciudades[[#This Row],[Altitud]]*0.00651*8.314*1.293/101325))^(9.8/(0.00651*8.314)))/6895</f>
        <v>14.691756396161171</v>
      </c>
      <c r="I8" s="55">
        <v>30.6</v>
      </c>
      <c r="J8" s="55">
        <v>30.7</v>
      </c>
      <c r="K8" s="55">
        <v>30.8</v>
      </c>
      <c r="L8" s="55">
        <v>31.2</v>
      </c>
      <c r="M8" s="55">
        <v>31.5</v>
      </c>
      <c r="N8" s="55">
        <v>31.8</v>
      </c>
      <c r="O8" s="55">
        <v>31.8</v>
      </c>
      <c r="P8" s="55">
        <v>31.8</v>
      </c>
      <c r="Q8" s="55">
        <v>31.5</v>
      </c>
      <c r="R8" s="55">
        <v>31.2</v>
      </c>
      <c r="S8" s="55">
        <v>31.2</v>
      </c>
      <c r="T8" s="55">
        <v>30.9</v>
      </c>
      <c r="U8" s="56">
        <v>31.2</v>
      </c>
      <c r="V8" s="55">
        <v>25.2</v>
      </c>
      <c r="W8" s="55">
        <v>27.8</v>
      </c>
      <c r="Y8" t="s">
        <v>628</v>
      </c>
    </row>
    <row r="9" spans="1:30">
      <c r="A9" s="52">
        <v>2403513</v>
      </c>
      <c r="B9" s="53" t="s">
        <v>170</v>
      </c>
      <c r="C9" s="53" t="s">
        <v>171</v>
      </c>
      <c r="D9" s="53" t="s">
        <v>172</v>
      </c>
      <c r="E9" s="53" t="s">
        <v>173</v>
      </c>
      <c r="F9" s="54">
        <v>2690</v>
      </c>
      <c r="G9" s="114">
        <f>(101325*EXP(-Ciudades[[#This Row],[Altitud]]/((101325/(9.8*1.293)))))/6895</f>
        <v>10.497460231668809</v>
      </c>
      <c r="H9" s="114">
        <f>(101325*(1-(Ciudades[[#This Row],[Altitud]]*0.00651*8.314*1.293/101325))^(9.8/(0.00651*8.314)))/6895</f>
        <v>10.494176179045775</v>
      </c>
      <c r="I9" s="55">
        <v>19.600000000000001</v>
      </c>
      <c r="J9" s="55">
        <v>19.8</v>
      </c>
      <c r="K9" s="55">
        <v>19.8</v>
      </c>
      <c r="L9" s="55">
        <v>18.7</v>
      </c>
      <c r="M9" s="55">
        <v>17.8</v>
      </c>
      <c r="N9" s="55">
        <v>16.8</v>
      </c>
      <c r="O9" s="55">
        <v>16.399999999999999</v>
      </c>
      <c r="P9" s="55">
        <v>16.7</v>
      </c>
      <c r="Q9" s="55">
        <v>17.7</v>
      </c>
      <c r="R9" s="55">
        <v>18.3</v>
      </c>
      <c r="S9" s="55">
        <v>18.600000000000001</v>
      </c>
      <c r="T9" s="55">
        <v>18.8</v>
      </c>
      <c r="U9" s="56">
        <v>18.3</v>
      </c>
      <c r="V9" s="55">
        <v>8.6999999999999993</v>
      </c>
      <c r="W9" s="55">
        <v>13.1</v>
      </c>
      <c r="Y9" t="s">
        <v>629</v>
      </c>
    </row>
    <row r="10" spans="1:30">
      <c r="A10" s="52">
        <v>2403534</v>
      </c>
      <c r="B10" s="53" t="s">
        <v>170</v>
      </c>
      <c r="C10" s="53" t="s">
        <v>174</v>
      </c>
      <c r="D10" s="53" t="s">
        <v>175</v>
      </c>
      <c r="E10" s="53" t="s">
        <v>173</v>
      </c>
      <c r="F10" s="54">
        <v>2500</v>
      </c>
      <c r="G10" s="114">
        <f>(101325*EXP(-Ciudades[[#This Row],[Altitud]]/((101325/(9.8*1.293)))))/6895</f>
        <v>10.749875511945442</v>
      </c>
      <c r="H10" s="114">
        <f>(101325*(1-(Ciudades[[#This Row],[Altitud]]*0.00651*8.314*1.293/101325))^(9.8/(0.00651*8.314)))/6895</f>
        <v>10.746970981224628</v>
      </c>
      <c r="I10" s="55">
        <v>22.7</v>
      </c>
      <c r="J10" s="55">
        <v>22.7</v>
      </c>
      <c r="K10" s="55">
        <v>22.4</v>
      </c>
      <c r="L10" s="55">
        <v>21.5</v>
      </c>
      <c r="M10" s="55">
        <v>21</v>
      </c>
      <c r="N10" s="55">
        <v>20.399999999999999</v>
      </c>
      <c r="O10" s="55">
        <v>20</v>
      </c>
      <c r="P10" s="55">
        <v>20</v>
      </c>
      <c r="Q10" s="55">
        <v>20.5</v>
      </c>
      <c r="R10" s="55">
        <v>20.9</v>
      </c>
      <c r="S10" s="55">
        <v>21.4</v>
      </c>
      <c r="T10" s="55">
        <v>22</v>
      </c>
      <c r="U10" s="56">
        <v>21.3</v>
      </c>
      <c r="V10" s="55">
        <v>6</v>
      </c>
      <c r="W10" s="55">
        <v>14.2</v>
      </c>
      <c r="Y10" t="s">
        <v>630</v>
      </c>
    </row>
    <row r="11" spans="1:30">
      <c r="A11" s="52">
        <v>2615511</v>
      </c>
      <c r="B11" s="53" t="s">
        <v>152</v>
      </c>
      <c r="C11" s="53" t="s">
        <v>176</v>
      </c>
      <c r="D11" s="53" t="s">
        <v>177</v>
      </c>
      <c r="E11" s="53" t="s">
        <v>178</v>
      </c>
      <c r="F11" s="54">
        <v>2062</v>
      </c>
      <c r="G11" s="114">
        <f>(101325*EXP(-Ciudades[[#This Row],[Altitud]]/((101325/(9.8*1.293)))))/6895</f>
        <v>11.355124478683457</v>
      </c>
      <c r="H11" s="114">
        <f>(101325*(1-(Ciudades[[#This Row],[Altitud]]*0.00651*8.314*1.293/101325))^(9.8/(0.00651*8.314)))/6895</f>
        <v>11.353037621116098</v>
      </c>
      <c r="I11" s="55">
        <v>21.5</v>
      </c>
      <c r="J11" s="55">
        <v>22</v>
      </c>
      <c r="K11" s="55">
        <v>21.8</v>
      </c>
      <c r="L11" s="55">
        <v>21.4</v>
      </c>
      <c r="M11" s="55">
        <v>21.3</v>
      </c>
      <c r="N11" s="55">
        <v>21.3</v>
      </c>
      <c r="O11" s="55">
        <v>21.5</v>
      </c>
      <c r="P11" s="55">
        <v>21.7</v>
      </c>
      <c r="Q11" s="55">
        <v>21.2</v>
      </c>
      <c r="R11" s="55">
        <v>20.6</v>
      </c>
      <c r="S11" s="55">
        <v>20.6</v>
      </c>
      <c r="T11" s="55">
        <v>21.1</v>
      </c>
      <c r="U11" s="56">
        <v>21.3</v>
      </c>
      <c r="V11" s="55">
        <v>12.4</v>
      </c>
      <c r="W11" s="55">
        <v>17</v>
      </c>
      <c r="Y11" t="s">
        <v>632</v>
      </c>
    </row>
    <row r="12" spans="1:30">
      <c r="A12" s="52">
        <v>4403502</v>
      </c>
      <c r="B12" s="53" t="s">
        <v>179</v>
      </c>
      <c r="C12" s="53" t="s">
        <v>180</v>
      </c>
      <c r="D12" s="53" t="s">
        <v>181</v>
      </c>
      <c r="E12" s="53" t="s">
        <v>182</v>
      </c>
      <c r="F12" s="54">
        <v>244</v>
      </c>
      <c r="G12" s="114">
        <f>(101325*EXP(-Ciudades[[#This Row],[Altitud]]/((101325/(9.8*1.293)))))/6895</f>
        <v>14.25378883502087</v>
      </c>
      <c r="H12" s="114">
        <f>(101325*(1-(Ciudades[[#This Row],[Altitud]]*0.00651*8.314*1.293/101325))^(9.8/(0.00651*8.314)))/6895</f>
        <v>14.253752182054798</v>
      </c>
      <c r="I12" s="55">
        <v>32.6</v>
      </c>
      <c r="J12" s="55">
        <v>32</v>
      </c>
      <c r="K12" s="55">
        <v>31</v>
      </c>
      <c r="L12" s="55">
        <v>30.2</v>
      </c>
      <c r="M12" s="55">
        <v>29.8</v>
      </c>
      <c r="N12" s="55">
        <v>28.9</v>
      </c>
      <c r="O12" s="55">
        <v>28.8</v>
      </c>
      <c r="P12" s="55">
        <v>30</v>
      </c>
      <c r="Q12" s="55">
        <v>30.9</v>
      </c>
      <c r="R12" s="55">
        <v>31.2</v>
      </c>
      <c r="S12" s="55">
        <v>31.3</v>
      </c>
      <c r="T12" s="55">
        <v>32</v>
      </c>
      <c r="U12" s="56">
        <v>30.7</v>
      </c>
      <c r="V12" s="55">
        <v>21.4</v>
      </c>
      <c r="W12" s="55">
        <v>25.8</v>
      </c>
      <c r="Y12" t="s">
        <v>633</v>
      </c>
    </row>
    <row r="13" spans="1:30">
      <c r="A13" s="52">
        <v>3521501</v>
      </c>
      <c r="B13" s="53" t="s">
        <v>170</v>
      </c>
      <c r="C13" s="53" t="s">
        <v>183</v>
      </c>
      <c r="D13" s="53" t="s">
        <v>184</v>
      </c>
      <c r="E13" s="53" t="s">
        <v>185</v>
      </c>
      <c r="F13" s="54">
        <v>325</v>
      </c>
      <c r="G13" s="114">
        <f>(101325*EXP(-Ciudades[[#This Row],[Altitud]]/((101325/(9.8*1.293)))))/6895</f>
        <v>14.110132240785912</v>
      </c>
      <c r="H13" s="114">
        <f>(101325*(1-(Ciudades[[#This Row],[Altitud]]*0.00651*8.314*1.293/101325))^(9.8/(0.00651*8.314)))/6895</f>
        <v>14.110067866455335</v>
      </c>
      <c r="I13" s="55">
        <v>32.799999999999997</v>
      </c>
      <c r="J13" s="55">
        <v>33.700000000000003</v>
      </c>
      <c r="K13" s="55">
        <v>33.4</v>
      </c>
      <c r="L13" s="55">
        <v>31.5</v>
      </c>
      <c r="M13" s="55">
        <v>30.5</v>
      </c>
      <c r="N13" s="55">
        <v>29.5</v>
      </c>
      <c r="O13" s="55">
        <v>29.4</v>
      </c>
      <c r="P13" s="55">
        <v>30.1</v>
      </c>
      <c r="Q13" s="55">
        <v>30.8</v>
      </c>
      <c r="R13" s="55">
        <v>31</v>
      </c>
      <c r="S13" s="55">
        <v>31.3</v>
      </c>
      <c r="T13" s="55">
        <v>31.9</v>
      </c>
      <c r="U13" s="56">
        <v>31.2</v>
      </c>
      <c r="V13" s="55">
        <v>22.6</v>
      </c>
      <c r="W13" s="55">
        <v>26.4</v>
      </c>
    </row>
    <row r="14" spans="1:30">
      <c r="A14" s="52">
        <v>2603503</v>
      </c>
      <c r="B14" s="53" t="s">
        <v>152</v>
      </c>
      <c r="C14" s="53" t="s">
        <v>186</v>
      </c>
      <c r="D14" s="53" t="s">
        <v>187</v>
      </c>
      <c r="E14" s="53" t="s">
        <v>188</v>
      </c>
      <c r="F14" s="54">
        <v>1757</v>
      </c>
      <c r="G14" s="114">
        <f>(101325*EXP(-Ciudades[[#This Row],[Altitud]]/((101325/(9.8*1.293)))))/6895</f>
        <v>11.796601970190096</v>
      </c>
      <c r="H14" s="114">
        <f>(101325*(1-(Ciudades[[#This Row],[Altitud]]*0.00651*8.314*1.293/101325))^(9.8/(0.00651*8.314)))/6895</f>
        <v>11.795028081858506</v>
      </c>
      <c r="I14" s="55">
        <v>24.6</v>
      </c>
      <c r="J14" s="55">
        <v>24.8</v>
      </c>
      <c r="K14" s="55">
        <v>24.8</v>
      </c>
      <c r="L14" s="55">
        <v>24.7</v>
      </c>
      <c r="M14" s="55">
        <v>24.8</v>
      </c>
      <c r="N14" s="55">
        <v>25.1</v>
      </c>
      <c r="O14" s="55">
        <v>25.3</v>
      </c>
      <c r="P14" s="55">
        <v>25.7</v>
      </c>
      <c r="Q14" s="55">
        <v>25.5</v>
      </c>
      <c r="R14" s="55">
        <v>24.7</v>
      </c>
      <c r="S14" s="55">
        <v>24.2</v>
      </c>
      <c r="T14" s="55">
        <v>24.2</v>
      </c>
      <c r="U14" s="56">
        <v>24.9</v>
      </c>
      <c r="V14" s="55">
        <v>13.4</v>
      </c>
      <c r="W14" s="55">
        <v>19.3</v>
      </c>
    </row>
    <row r="15" spans="1:30">
      <c r="A15" s="52">
        <v>2803503</v>
      </c>
      <c r="B15" s="53" t="s">
        <v>152</v>
      </c>
      <c r="C15" s="53" t="s">
        <v>189</v>
      </c>
      <c r="D15" s="53" t="s">
        <v>190</v>
      </c>
      <c r="E15" s="53" t="s">
        <v>191</v>
      </c>
      <c r="F15" s="54">
        <v>138</v>
      </c>
      <c r="G15" s="114">
        <f>(101325*EXP(-Ciudades[[#This Row],[Altitud]]/((101325/(9.8*1.293)))))/6895</f>
        <v>14.443995559466188</v>
      </c>
      <c r="H15" s="114">
        <f>(101325*(1-(Ciudades[[#This Row],[Altitud]]*0.00651*8.314*1.293/101325))^(9.8/(0.00651*8.314)))/6895</f>
        <v>14.443983679263397</v>
      </c>
      <c r="I15" s="55">
        <v>34.799999999999997</v>
      </c>
      <c r="J15" s="55">
        <v>35.6</v>
      </c>
      <c r="K15" s="55">
        <v>36</v>
      </c>
      <c r="L15" s="55">
        <v>35.5</v>
      </c>
      <c r="M15" s="55">
        <v>34</v>
      </c>
      <c r="N15" s="55">
        <v>34</v>
      </c>
      <c r="O15" s="55">
        <v>35.200000000000003</v>
      </c>
      <c r="P15" s="55">
        <v>35</v>
      </c>
      <c r="Q15" s="55">
        <v>33.799999999999997</v>
      </c>
      <c r="R15" s="55">
        <v>32.799999999999997</v>
      </c>
      <c r="S15" s="55">
        <v>32.799999999999997</v>
      </c>
      <c r="T15" s="55">
        <v>33.700000000000003</v>
      </c>
      <c r="U15" s="56">
        <v>34.5</v>
      </c>
      <c r="V15" s="55">
        <v>23.7</v>
      </c>
      <c r="W15" s="55">
        <v>29</v>
      </c>
    </row>
    <row r="16" spans="1:30">
      <c r="A16" s="52">
        <v>1104501</v>
      </c>
      <c r="B16" s="53" t="s">
        <v>152</v>
      </c>
      <c r="C16" s="53" t="s">
        <v>192</v>
      </c>
      <c r="D16" s="53" t="s">
        <v>193</v>
      </c>
      <c r="E16" s="53" t="s">
        <v>194</v>
      </c>
      <c r="F16" s="54">
        <v>53</v>
      </c>
      <c r="G16" s="114">
        <f>(101325*EXP(-Ciudades[[#This Row],[Altitud]]/((101325/(9.8*1.293)))))/6895</f>
        <v>14.598351925735439</v>
      </c>
      <c r="H16" s="114">
        <f>(101325*(1-(Ciudades[[#This Row],[Altitud]]*0.00651*8.314*1.293/101325))^(9.8/(0.00651*8.314)))/6895</f>
        <v>14.598350154741475</v>
      </c>
      <c r="I16" s="55">
        <v>30</v>
      </c>
      <c r="J16" s="55">
        <v>30.3</v>
      </c>
      <c r="K16" s="55">
        <v>30.6</v>
      </c>
      <c r="L16" s="55">
        <v>30.8</v>
      </c>
      <c r="M16" s="55">
        <v>31.1</v>
      </c>
      <c r="N16" s="55">
        <v>30.9</v>
      </c>
      <c r="O16" s="55">
        <v>31.1</v>
      </c>
      <c r="P16" s="55">
        <v>31.2</v>
      </c>
      <c r="Q16" s="55">
        <v>30.9</v>
      </c>
      <c r="R16" s="55">
        <v>30.5</v>
      </c>
      <c r="S16" s="55">
        <v>30.3</v>
      </c>
      <c r="T16" s="55">
        <v>29.8</v>
      </c>
      <c r="U16" s="56">
        <v>30.6</v>
      </c>
      <c r="V16" s="55">
        <v>23.3</v>
      </c>
      <c r="W16" s="55">
        <v>26.6</v>
      </c>
      <c r="Y16" s="125" t="s">
        <v>670</v>
      </c>
      <c r="Z16" s="197" t="s">
        <v>479</v>
      </c>
      <c r="AA16" s="197" t="s">
        <v>480</v>
      </c>
      <c r="AB16" s="197" t="s">
        <v>672</v>
      </c>
      <c r="AC16" s="197" t="s">
        <v>671</v>
      </c>
      <c r="AD16" s="198" t="s">
        <v>492</v>
      </c>
    </row>
    <row r="17" spans="1:30">
      <c r="A17" s="52">
        <v>1308504</v>
      </c>
      <c r="B17" s="53" t="s">
        <v>179</v>
      </c>
      <c r="C17" s="53" t="s">
        <v>195</v>
      </c>
      <c r="D17" s="53" t="s">
        <v>196</v>
      </c>
      <c r="E17" s="53" t="s">
        <v>197</v>
      </c>
      <c r="F17" s="54">
        <v>36</v>
      </c>
      <c r="G17" s="114">
        <f>(101325*EXP(-Ciudades[[#This Row],[Altitud]]/((101325/(9.8*1.293)))))/6895</f>
        <v>14.629420581891477</v>
      </c>
      <c r="H17" s="114">
        <f>(101325*(1-(Ciudades[[#This Row],[Altitud]]*0.00651*8.314*1.293/101325))^(9.8/(0.00651*8.314)))/6895</f>
        <v>14.629419763068052</v>
      </c>
      <c r="I17" s="55">
        <v>33.700000000000003</v>
      </c>
      <c r="J17" s="55">
        <v>34.200000000000003</v>
      </c>
      <c r="K17" s="55">
        <v>34.299999999999997</v>
      </c>
      <c r="L17" s="55">
        <v>34</v>
      </c>
      <c r="M17" s="55">
        <v>32.9</v>
      </c>
      <c r="N17" s="55">
        <v>32.799999999999997</v>
      </c>
      <c r="O17" s="55">
        <v>32.9</v>
      </c>
      <c r="P17" s="55">
        <v>32.9</v>
      </c>
      <c r="Q17" s="55">
        <v>32.4</v>
      </c>
      <c r="R17" s="55">
        <v>32.4</v>
      </c>
      <c r="S17" s="55">
        <v>32.4</v>
      </c>
      <c r="T17" s="55">
        <v>32.9</v>
      </c>
      <c r="U17" s="56">
        <v>33.200000000000003</v>
      </c>
      <c r="V17" s="55">
        <v>23.1</v>
      </c>
      <c r="W17" s="55">
        <v>28.1</v>
      </c>
      <c r="Y17" s="123" t="s">
        <v>481</v>
      </c>
      <c r="Z17" s="12" t="s">
        <v>490</v>
      </c>
      <c r="AA17" s="12">
        <v>-20</v>
      </c>
      <c r="AB17" s="122">
        <f>(1390/0.75)/3.412</f>
        <v>543.18093005080107</v>
      </c>
      <c r="AC17" s="122">
        <f>(1485*3.28)/3.412</f>
        <v>1427.5498241500584</v>
      </c>
      <c r="AD17" s="124">
        <f>(AC17-AB17)/AC17</f>
        <v>0.61950124551750563</v>
      </c>
    </row>
    <row r="18" spans="1:30">
      <c r="A18" s="52">
        <v>2120579</v>
      </c>
      <c r="B18" s="53" t="s">
        <v>152</v>
      </c>
      <c r="C18" s="53" t="s">
        <v>198</v>
      </c>
      <c r="D18" s="53" t="s">
        <v>199</v>
      </c>
      <c r="E18" s="53" t="s">
        <v>200</v>
      </c>
      <c r="F18" s="54">
        <v>2547</v>
      </c>
      <c r="G18" s="114">
        <f>(101325*EXP(-Ciudades[[#This Row],[Altitud]]/((101325/(9.8*1.293)))))/6895</f>
        <v>10.686876522294988</v>
      </c>
      <c r="H18" s="114">
        <f>(101325*(1-(Ciudades[[#This Row],[Altitud]]*0.00651*8.314*1.293/101325))^(9.8/(0.00651*8.314)))/6895</f>
        <v>10.683879372926045</v>
      </c>
      <c r="I18" s="55">
        <v>19.899999999999999</v>
      </c>
      <c r="J18" s="55">
        <v>20</v>
      </c>
      <c r="K18" s="55">
        <v>19.8</v>
      </c>
      <c r="L18" s="55">
        <v>19.5</v>
      </c>
      <c r="M18" s="55">
        <v>19.3</v>
      </c>
      <c r="N18" s="55">
        <v>18.8</v>
      </c>
      <c r="O18" s="55">
        <v>18.399999999999999</v>
      </c>
      <c r="P18" s="55">
        <v>18.7</v>
      </c>
      <c r="Q18" s="55">
        <v>19.100000000000001</v>
      </c>
      <c r="R18" s="55">
        <v>19.2</v>
      </c>
      <c r="S18" s="55">
        <v>19.3</v>
      </c>
      <c r="T18" s="55">
        <v>19.7</v>
      </c>
      <c r="U18" s="56">
        <v>19.3</v>
      </c>
      <c r="V18" s="55">
        <v>7.9</v>
      </c>
      <c r="W18" s="55">
        <v>13.7</v>
      </c>
      <c r="Y18" s="123" t="s">
        <v>481</v>
      </c>
      <c r="Z18" s="12" t="s">
        <v>491</v>
      </c>
      <c r="AA18" s="12">
        <v>-20</v>
      </c>
      <c r="AB18" s="122">
        <f>(1390/0.75)/3.412</f>
        <v>543.18093005080107</v>
      </c>
      <c r="AC18" s="122">
        <f>(1485*3.28)/3.412</f>
        <v>1427.5498241500584</v>
      </c>
      <c r="AD18" s="124">
        <f t="shared" ref="AD18:AD36" si="0">(AC18-AB18)/AC18</f>
        <v>0.61950124551750563</v>
      </c>
    </row>
    <row r="19" spans="1:30">
      <c r="A19" s="52">
        <v>2119512</v>
      </c>
      <c r="B19" s="53" t="s">
        <v>170</v>
      </c>
      <c r="C19" s="53" t="s">
        <v>201</v>
      </c>
      <c r="D19" s="53" t="s">
        <v>202</v>
      </c>
      <c r="E19" s="53" t="s">
        <v>200</v>
      </c>
      <c r="F19" s="54">
        <v>1460</v>
      </c>
      <c r="G19" s="114">
        <f>(101325*EXP(-Ciudades[[#This Row],[Altitud]]/((101325/(9.8*1.293)))))/6895</f>
        <v>12.242989027119394</v>
      </c>
      <c r="H19" s="114">
        <f>(101325*(1-(Ciudades[[#This Row],[Altitud]]*0.00651*8.314*1.293/101325))^(9.8/(0.00651*8.314)))/6895</f>
        <v>12.241861268481872</v>
      </c>
      <c r="I19" s="55">
        <v>25.3</v>
      </c>
      <c r="J19" s="55">
        <v>25.4</v>
      </c>
      <c r="K19" s="55">
        <v>25.1</v>
      </c>
      <c r="L19" s="55">
        <v>24.6</v>
      </c>
      <c r="M19" s="55">
        <v>24.3</v>
      </c>
      <c r="N19" s="55">
        <v>24.1</v>
      </c>
      <c r="O19" s="55">
        <v>24.4</v>
      </c>
      <c r="P19" s="55">
        <v>25.1</v>
      </c>
      <c r="Q19" s="55">
        <v>24.9</v>
      </c>
      <c r="R19" s="55">
        <v>24.4</v>
      </c>
      <c r="S19" s="55">
        <v>24.1</v>
      </c>
      <c r="T19" s="55">
        <v>24.4</v>
      </c>
      <c r="U19" s="56">
        <v>24.7</v>
      </c>
      <c r="V19" s="55">
        <v>15.7</v>
      </c>
      <c r="W19" s="55">
        <v>20.399999999999999</v>
      </c>
      <c r="Y19" s="123" t="s">
        <v>481</v>
      </c>
      <c r="Z19" s="12" t="s">
        <v>489</v>
      </c>
      <c r="AA19" s="12">
        <v>-18</v>
      </c>
      <c r="AB19" s="122">
        <f>(1390/0.75)/3.412</f>
        <v>543.18093005080107</v>
      </c>
      <c r="AC19" s="122">
        <f>(1485*3.28)/3.412</f>
        <v>1427.5498241500584</v>
      </c>
      <c r="AD19" s="124">
        <f t="shared" si="0"/>
        <v>0.61950124551750563</v>
      </c>
    </row>
    <row r="20" spans="1:30">
      <c r="A20" s="52">
        <v>3109501</v>
      </c>
      <c r="B20" s="53" t="s">
        <v>159</v>
      </c>
      <c r="C20" s="53" t="s">
        <v>203</v>
      </c>
      <c r="D20" s="53" t="s">
        <v>204</v>
      </c>
      <c r="E20" s="53" t="s">
        <v>205</v>
      </c>
      <c r="F20" s="54">
        <v>100</v>
      </c>
      <c r="G20" s="114">
        <f>(101325*EXP(-Ciudades[[#This Row],[Altitud]]/((101325/(9.8*1.293)))))/6895</f>
        <v>14.512799174835102</v>
      </c>
      <c r="H20" s="114">
        <f>(101325*(1-(Ciudades[[#This Row],[Altitud]]*0.00651*8.314*1.293/101325))^(9.8/(0.00651*8.314)))/6895</f>
        <v>14.512792906935845</v>
      </c>
      <c r="I20" s="55">
        <v>32.700000000000003</v>
      </c>
      <c r="J20" s="55">
        <v>33.200000000000003</v>
      </c>
      <c r="K20" s="55">
        <v>33</v>
      </c>
      <c r="L20" s="55">
        <v>31.7</v>
      </c>
      <c r="M20" s="55">
        <v>30.4</v>
      </c>
      <c r="N20" s="55">
        <v>29.9</v>
      </c>
      <c r="O20" s="55">
        <v>29.9</v>
      </c>
      <c r="P20" s="55">
        <v>30.6</v>
      </c>
      <c r="Q20" s="55">
        <v>31.7</v>
      </c>
      <c r="R20" s="55">
        <v>32.1</v>
      </c>
      <c r="S20" s="55">
        <v>32</v>
      </c>
      <c r="T20" s="55">
        <v>32.1</v>
      </c>
      <c r="U20" s="56">
        <v>31.6</v>
      </c>
      <c r="V20" s="55">
        <v>22.6</v>
      </c>
      <c r="W20" s="55">
        <v>26.5</v>
      </c>
      <c r="Y20" s="123" t="s">
        <v>482</v>
      </c>
      <c r="Z20" s="12" t="s">
        <v>490</v>
      </c>
      <c r="AA20" s="12">
        <v>-20</v>
      </c>
      <c r="AB20" s="122">
        <f>(1390)/3.412</f>
        <v>407.38569753810083</v>
      </c>
      <c r="AC20" s="122">
        <f>(1485*0.75*3.28)/3.412</f>
        <v>1070.6623681125441</v>
      </c>
      <c r="AD20" s="124">
        <f t="shared" si="0"/>
        <v>0.61950124551750563</v>
      </c>
    </row>
    <row r="21" spans="1:30">
      <c r="A21" s="52">
        <v>3210507</v>
      </c>
      <c r="B21" s="53" t="s">
        <v>206</v>
      </c>
      <c r="C21" s="53" t="s">
        <v>207</v>
      </c>
      <c r="D21" s="53" t="s">
        <v>208</v>
      </c>
      <c r="E21" s="53" t="s">
        <v>209</v>
      </c>
      <c r="F21" s="54">
        <v>165</v>
      </c>
      <c r="G21" s="114">
        <f>(101325*EXP(-Ciudades[[#This Row],[Altitud]]/((101325/(9.8*1.293)))))/6895</f>
        <v>14.39530709267272</v>
      </c>
      <c r="H21" s="114">
        <f>(101325*(1-(Ciudades[[#This Row],[Altitud]]*0.00651*8.314*1.293/101325))^(9.8/(0.00651*8.314)))/6895</f>
        <v>14.395290165965784</v>
      </c>
      <c r="I21" s="55">
        <v>33.4</v>
      </c>
      <c r="J21" s="55">
        <v>33.5</v>
      </c>
      <c r="K21" s="55">
        <v>32.9</v>
      </c>
      <c r="L21" s="55">
        <v>31.5</v>
      </c>
      <c r="M21" s="55">
        <v>30.7</v>
      </c>
      <c r="N21" s="55">
        <v>29.9</v>
      </c>
      <c r="O21" s="55">
        <v>29.7</v>
      </c>
      <c r="P21" s="55">
        <v>30.6</v>
      </c>
      <c r="Q21" s="55">
        <v>31.5</v>
      </c>
      <c r="R21" s="55">
        <v>31.6</v>
      </c>
      <c r="S21" s="55">
        <v>31.5</v>
      </c>
      <c r="T21" s="55">
        <v>32.200000000000003</v>
      </c>
      <c r="U21" s="56">
        <v>31.6</v>
      </c>
      <c r="V21" s="55">
        <v>21.8</v>
      </c>
      <c r="W21" s="55">
        <v>25.7</v>
      </c>
      <c r="Y21" s="123" t="s">
        <v>482</v>
      </c>
      <c r="Z21" s="12" t="s">
        <v>491</v>
      </c>
      <c r="AA21" s="12">
        <v>-20</v>
      </c>
      <c r="AB21" s="122">
        <f>(1390)/3.412</f>
        <v>407.38569753810083</v>
      </c>
      <c r="AC21" s="122">
        <f>(1485*0.75*3.28)/3.412</f>
        <v>1070.6623681125441</v>
      </c>
      <c r="AD21" s="124">
        <f t="shared" si="0"/>
        <v>0.61950124551750563</v>
      </c>
    </row>
    <row r="22" spans="1:30">
      <c r="A22" s="52">
        <v>2111502</v>
      </c>
      <c r="B22" s="53" t="s">
        <v>179</v>
      </c>
      <c r="C22" s="53" t="s">
        <v>210</v>
      </c>
      <c r="D22" s="53" t="s">
        <v>211</v>
      </c>
      <c r="E22" s="53" t="s">
        <v>212</v>
      </c>
      <c r="F22" s="54">
        <v>439</v>
      </c>
      <c r="G22" s="114">
        <f>(101325*EXP(-Ciudades[[#This Row],[Altitud]]/((101325/(9.8*1.293)))))/6895</f>
        <v>13.910398313105127</v>
      </c>
      <c r="H22" s="114">
        <f>(101325*(1-(Ciudades[[#This Row],[Altitud]]*0.00651*8.314*1.293/101325))^(9.8/(0.00651*8.314)))/6895</f>
        <v>13.910282513917982</v>
      </c>
      <c r="I22" s="55">
        <v>32.799999999999997</v>
      </c>
      <c r="J22" s="55">
        <v>33.1</v>
      </c>
      <c r="K22" s="55">
        <v>32.6</v>
      </c>
      <c r="L22" s="55">
        <v>32.299999999999997</v>
      </c>
      <c r="M22" s="55">
        <v>32.5</v>
      </c>
      <c r="N22" s="55">
        <v>33.200000000000003</v>
      </c>
      <c r="O22" s="55">
        <v>33.700000000000003</v>
      </c>
      <c r="P22" s="55">
        <v>34.6</v>
      </c>
      <c r="Q22" s="55">
        <v>34.700000000000003</v>
      </c>
      <c r="R22" s="55">
        <v>32.9</v>
      </c>
      <c r="S22" s="55">
        <v>31.5</v>
      </c>
      <c r="T22" s="55">
        <v>31.8</v>
      </c>
      <c r="U22" s="56">
        <v>33</v>
      </c>
      <c r="V22" s="55">
        <v>22.5</v>
      </c>
      <c r="W22" s="55">
        <v>27.8</v>
      </c>
      <c r="Y22" s="123" t="s">
        <v>482</v>
      </c>
      <c r="Z22" s="12" t="s">
        <v>489</v>
      </c>
      <c r="AA22" s="12">
        <v>-18</v>
      </c>
      <c r="AB22" s="122">
        <f>(1390)/3.412</f>
        <v>407.38569753810083</v>
      </c>
      <c r="AC22" s="122">
        <f>(1485*0.75*3.28)/3.412</f>
        <v>1070.6623681125441</v>
      </c>
      <c r="AD22" s="124">
        <f t="shared" si="0"/>
        <v>0.61950124551750563</v>
      </c>
    </row>
    <row r="23" spans="1:30">
      <c r="A23" s="52">
        <v>1506501</v>
      </c>
      <c r="B23" s="53" t="s">
        <v>152</v>
      </c>
      <c r="C23" s="53" t="s">
        <v>213</v>
      </c>
      <c r="D23" s="53" t="s">
        <v>214</v>
      </c>
      <c r="E23" s="53" t="s">
        <v>215</v>
      </c>
      <c r="F23" s="54">
        <v>4</v>
      </c>
      <c r="G23" s="114">
        <f>(101325*EXP(-Ciudades[[#This Row],[Altitud]]/((101325/(9.8*1.293)))))/6895</f>
        <v>14.688082244389276</v>
      </c>
      <c r="H23" s="114">
        <f>(101325*(1-(Ciudades[[#This Row],[Altitud]]*0.00651*8.314*1.293/101325))^(9.8/(0.00651*8.314)))/6895</f>
        <v>14.688082234240051</v>
      </c>
      <c r="I23" s="55">
        <v>32.5</v>
      </c>
      <c r="J23" s="55">
        <v>32.6</v>
      </c>
      <c r="K23" s="55">
        <v>32.799999999999997</v>
      </c>
      <c r="L23" s="55">
        <v>33</v>
      </c>
      <c r="M23" s="55">
        <v>33.5</v>
      </c>
      <c r="N23" s="55">
        <v>34.5</v>
      </c>
      <c r="O23" s="55">
        <v>35.200000000000003</v>
      </c>
      <c r="P23" s="55">
        <v>35.1</v>
      </c>
      <c r="Q23" s="55">
        <v>33.700000000000003</v>
      </c>
      <c r="R23" s="55">
        <v>32.799999999999997</v>
      </c>
      <c r="S23" s="55">
        <v>32.200000000000003</v>
      </c>
      <c r="T23" s="55">
        <v>32.4</v>
      </c>
      <c r="U23" s="56">
        <v>33.4</v>
      </c>
      <c r="V23" s="55">
        <v>24.2</v>
      </c>
      <c r="W23" s="55">
        <v>28.3</v>
      </c>
      <c r="Y23" s="123" t="s">
        <v>483</v>
      </c>
      <c r="Z23" s="12" t="s">
        <v>490</v>
      </c>
      <c r="AA23" s="12">
        <v>-20</v>
      </c>
      <c r="AB23" s="12">
        <v>749</v>
      </c>
      <c r="AC23" s="122">
        <f>(1485*3.28)/3.412</f>
        <v>1427.5498241500584</v>
      </c>
      <c r="AD23" s="124">
        <f t="shared" si="0"/>
        <v>0.47532479264186572</v>
      </c>
    </row>
    <row r="24" spans="1:30">
      <c r="A24" s="52">
        <v>1501505</v>
      </c>
      <c r="B24" s="53" t="s">
        <v>152</v>
      </c>
      <c r="C24" s="53" t="s">
        <v>216</v>
      </c>
      <c r="D24" s="53" t="s">
        <v>217</v>
      </c>
      <c r="E24" s="53" t="s">
        <v>218</v>
      </c>
      <c r="F24" s="54">
        <v>4</v>
      </c>
      <c r="G24" s="114">
        <f>(101325*EXP(-Ciudades[[#This Row],[Altitud]]/((101325/(9.8*1.293)))))/6895</f>
        <v>14.688082244389276</v>
      </c>
      <c r="H24" s="114">
        <f>(101325*(1-(Ciudades[[#This Row],[Altitud]]*0.00651*8.314*1.293/101325))^(9.8/(0.00651*8.314)))/6895</f>
        <v>14.688082234240051</v>
      </c>
      <c r="I24" s="55">
        <v>33</v>
      </c>
      <c r="J24" s="55">
        <v>33.6</v>
      </c>
      <c r="K24" s="55">
        <v>33.799999999999997</v>
      </c>
      <c r="L24" s="55">
        <v>33.6</v>
      </c>
      <c r="M24" s="55">
        <v>32.9</v>
      </c>
      <c r="N24" s="55">
        <v>33</v>
      </c>
      <c r="O24" s="55">
        <v>33</v>
      </c>
      <c r="P24" s="55">
        <v>32.799999999999997</v>
      </c>
      <c r="Q24" s="55">
        <v>32.5</v>
      </c>
      <c r="R24" s="55">
        <v>32.1</v>
      </c>
      <c r="S24" s="55">
        <v>32.1</v>
      </c>
      <c r="T24" s="55">
        <v>32.4</v>
      </c>
      <c r="U24" s="56">
        <v>32.9</v>
      </c>
      <c r="V24" s="55">
        <v>24.1</v>
      </c>
      <c r="W24" s="55">
        <v>28.3</v>
      </c>
      <c r="Y24" s="123" t="s">
        <v>483</v>
      </c>
      <c r="Z24" s="12" t="s">
        <v>491</v>
      </c>
      <c r="AA24" s="12">
        <v>-20</v>
      </c>
      <c r="AB24" s="12">
        <v>749</v>
      </c>
      <c r="AC24" s="122">
        <f>(1485*3.28)/3.412</f>
        <v>1427.5498241500584</v>
      </c>
      <c r="AD24" s="124">
        <f t="shared" si="0"/>
        <v>0.47532479264186572</v>
      </c>
    </row>
    <row r="25" spans="1:30">
      <c r="A25" s="52">
        <v>2502509</v>
      </c>
      <c r="B25" s="53" t="s">
        <v>152</v>
      </c>
      <c r="C25" s="53" t="s">
        <v>219</v>
      </c>
      <c r="D25" s="53" t="s">
        <v>220</v>
      </c>
      <c r="E25" s="53" t="s">
        <v>218</v>
      </c>
      <c r="F25" s="54">
        <v>34</v>
      </c>
      <c r="G25" s="114">
        <f>(101325*EXP(-Ciudades[[#This Row],[Altitud]]/((101325/(9.8*1.293)))))/6895</f>
        <v>14.633080062263836</v>
      </c>
      <c r="H25" s="114">
        <f>(101325*(1-(Ciudades[[#This Row],[Altitud]]*0.00651*8.314*1.293/101325))^(9.8/(0.00651*8.314)))/6895</f>
        <v>14.633079331711478</v>
      </c>
      <c r="I25" s="55">
        <v>34.200000000000003</v>
      </c>
      <c r="J25" s="55">
        <v>35.1</v>
      </c>
      <c r="K25" s="55">
        <v>35.1</v>
      </c>
      <c r="L25" s="55">
        <v>34.299999999999997</v>
      </c>
      <c r="M25" s="55">
        <v>33.5</v>
      </c>
      <c r="N25" s="55">
        <v>33.4</v>
      </c>
      <c r="O25" s="55">
        <v>33.9</v>
      </c>
      <c r="P25" s="55">
        <v>34</v>
      </c>
      <c r="Q25" s="55">
        <v>33.299999999999997</v>
      </c>
      <c r="R25" s="55">
        <v>33.1</v>
      </c>
      <c r="S25" s="55">
        <v>32.9</v>
      </c>
      <c r="T25" s="55">
        <v>33.4</v>
      </c>
      <c r="U25" s="56">
        <v>33.799999999999997</v>
      </c>
      <c r="V25" s="55">
        <v>23.1</v>
      </c>
      <c r="W25" s="55">
        <v>28.5</v>
      </c>
      <c r="Y25" s="123" t="s">
        <v>483</v>
      </c>
      <c r="Z25" s="12" t="s">
        <v>489</v>
      </c>
      <c r="AA25" s="12">
        <v>-18</v>
      </c>
      <c r="AB25" s="12">
        <v>749</v>
      </c>
      <c r="AC25" s="122">
        <f>(1485*3.28)/3.412</f>
        <v>1427.5498241500584</v>
      </c>
      <c r="AD25" s="124">
        <f t="shared" si="0"/>
        <v>0.47532479264186572</v>
      </c>
    </row>
    <row r="26" spans="1:30">
      <c r="A26" s="52">
        <v>3503502</v>
      </c>
      <c r="B26" s="53" t="s">
        <v>152</v>
      </c>
      <c r="C26" s="53" t="s">
        <v>221</v>
      </c>
      <c r="D26" s="53" t="s">
        <v>222</v>
      </c>
      <c r="E26" s="53" t="s">
        <v>223</v>
      </c>
      <c r="F26" s="54">
        <v>423</v>
      </c>
      <c r="G26" s="114">
        <f>(101325*EXP(-Ciudades[[#This Row],[Altitud]]/((101325/(9.8*1.293)))))/6895</f>
        <v>13.93825965961595</v>
      </c>
      <c r="H26" s="114">
        <f>(101325*(1-(Ciudades[[#This Row],[Altitud]]*0.00651*8.314*1.293/101325))^(9.8/(0.00651*8.314)))/6895</f>
        <v>13.938151932974964</v>
      </c>
      <c r="I26" s="55">
        <v>31.6</v>
      </c>
      <c r="J26" s="55">
        <v>32</v>
      </c>
      <c r="K26" s="55">
        <v>31.4</v>
      </c>
      <c r="L26" s="55">
        <v>30.2</v>
      </c>
      <c r="M26" s="55">
        <v>29.5</v>
      </c>
      <c r="N26" s="55">
        <v>28.7</v>
      </c>
      <c r="O26" s="55">
        <v>28.5</v>
      </c>
      <c r="P26" s="55">
        <v>29.4</v>
      </c>
      <c r="Q26" s="55">
        <v>30.3</v>
      </c>
      <c r="R26" s="55">
        <v>30.5</v>
      </c>
      <c r="S26" s="55">
        <v>30.4</v>
      </c>
      <c r="T26" s="55">
        <v>30.7</v>
      </c>
      <c r="U26" s="56">
        <v>30.3</v>
      </c>
      <c r="V26" s="55">
        <v>21.1</v>
      </c>
      <c r="W26" s="55">
        <v>25.6</v>
      </c>
      <c r="Y26" s="123" t="s">
        <v>484</v>
      </c>
      <c r="Z26" s="12" t="s">
        <v>490</v>
      </c>
      <c r="AA26" s="12">
        <v>-20</v>
      </c>
      <c r="AB26" s="122">
        <f t="shared" ref="AB26:AB31" si="1">(550*3.28)/3.412</f>
        <v>528.72215709261434</v>
      </c>
      <c r="AC26" s="122">
        <f>(1485*0.5*3.28)/3.412</f>
        <v>713.77491207502919</v>
      </c>
      <c r="AD26" s="124">
        <f t="shared" si="0"/>
        <v>0.25925925925925908</v>
      </c>
    </row>
    <row r="27" spans="1:30">
      <c r="A27" s="52">
        <v>5204501</v>
      </c>
      <c r="B27" s="53" t="s">
        <v>159</v>
      </c>
      <c r="C27" s="53" t="s">
        <v>224</v>
      </c>
      <c r="D27" s="53" t="s">
        <v>225</v>
      </c>
      <c r="E27" s="53" t="s">
        <v>226</v>
      </c>
      <c r="F27" s="54">
        <v>2871</v>
      </c>
      <c r="G27" s="114">
        <f>(101325*EXP(-Ciudades[[#This Row],[Altitud]]/((101325/(9.8*1.293)))))/6895</f>
        <v>10.262515951695608</v>
      </c>
      <c r="H27" s="114">
        <f>(101325*(1-(Ciudades[[#This Row],[Altitud]]*0.00651*8.314*1.293/101325))^(9.8/(0.00651*8.314)))/6895</f>
        <v>10.258858586434433</v>
      </c>
      <c r="I27" s="55">
        <v>17</v>
      </c>
      <c r="J27" s="55">
        <v>17.2</v>
      </c>
      <c r="K27" s="55">
        <v>17.3</v>
      </c>
      <c r="L27" s="55">
        <v>17.5</v>
      </c>
      <c r="M27" s="55">
        <v>17.399999999999999</v>
      </c>
      <c r="N27" s="55">
        <v>16.8</v>
      </c>
      <c r="O27" s="55">
        <v>16.3</v>
      </c>
      <c r="P27" s="55">
        <v>16.7</v>
      </c>
      <c r="Q27" s="55">
        <v>17.5</v>
      </c>
      <c r="R27" s="55">
        <v>17.8</v>
      </c>
      <c r="S27" s="55">
        <v>17.399999999999999</v>
      </c>
      <c r="T27" s="55">
        <v>17.3</v>
      </c>
      <c r="U27" s="56">
        <v>17.2</v>
      </c>
      <c r="V27" s="55">
        <v>9.6</v>
      </c>
      <c r="W27" s="55">
        <v>12.9</v>
      </c>
      <c r="Y27" s="123" t="s">
        <v>484</v>
      </c>
      <c r="Z27" s="12" t="s">
        <v>491</v>
      </c>
      <c r="AA27" s="12">
        <v>-20</v>
      </c>
      <c r="AB27" s="122">
        <f t="shared" si="1"/>
        <v>528.72215709261434</v>
      </c>
      <c r="AC27" s="122">
        <f>(1485*0.5*3.28)/3.412</f>
        <v>713.77491207502919</v>
      </c>
      <c r="AD27" s="124">
        <f t="shared" si="0"/>
        <v>0.25925925925925908</v>
      </c>
    </row>
    <row r="28" spans="1:30">
      <c r="A28" s="52">
        <v>5205501</v>
      </c>
      <c r="B28" s="53" t="s">
        <v>152</v>
      </c>
      <c r="C28" s="53" t="s">
        <v>227</v>
      </c>
      <c r="D28" s="53" t="s">
        <v>228</v>
      </c>
      <c r="E28" s="53" t="s">
        <v>226</v>
      </c>
      <c r="F28" s="54">
        <v>2961</v>
      </c>
      <c r="G28" s="114">
        <f>(101325*EXP(-Ciudades[[#This Row],[Altitud]]/((101325/(9.8*1.293)))))/6895</f>
        <v>10.147657590682606</v>
      </c>
      <c r="H28" s="114">
        <f>(101325*(1-(Ciudades[[#This Row],[Altitud]]*0.00651*8.314*1.293/101325))^(9.8/(0.00651*8.314)))/6895</f>
        <v>10.143810753365642</v>
      </c>
      <c r="I28" s="55">
        <v>16.3</v>
      </c>
      <c r="J28" s="55">
        <v>16.399999999999999</v>
      </c>
      <c r="K28" s="55">
        <v>16.3</v>
      </c>
      <c r="L28" s="55">
        <v>16.399999999999999</v>
      </c>
      <c r="M28" s="55">
        <v>16</v>
      </c>
      <c r="N28" s="55">
        <v>15.1</v>
      </c>
      <c r="O28" s="55">
        <v>14.6</v>
      </c>
      <c r="P28" s="55">
        <v>14.9</v>
      </c>
      <c r="Q28" s="55">
        <v>15.9</v>
      </c>
      <c r="R28" s="55">
        <v>16.8</v>
      </c>
      <c r="S28" s="55">
        <v>16.899999999999999</v>
      </c>
      <c r="T28" s="55">
        <v>16.600000000000001</v>
      </c>
      <c r="U28" s="56">
        <v>16</v>
      </c>
      <c r="V28" s="55">
        <v>5.8</v>
      </c>
      <c r="W28" s="55">
        <v>11</v>
      </c>
      <c r="Y28" s="123" t="s">
        <v>484</v>
      </c>
      <c r="Z28" s="12" t="s">
        <v>489</v>
      </c>
      <c r="AA28" s="12">
        <v>-18</v>
      </c>
      <c r="AB28" s="122">
        <f t="shared" si="1"/>
        <v>528.72215709261434</v>
      </c>
      <c r="AC28" s="122">
        <f>(1485*0.5*3.28)/3.412</f>
        <v>713.77491207502919</v>
      </c>
      <c r="AD28" s="124">
        <f t="shared" si="0"/>
        <v>0.25925925925925908</v>
      </c>
    </row>
    <row r="29" spans="1:30">
      <c r="A29" s="52">
        <v>1601501</v>
      </c>
      <c r="B29" s="53" t="s">
        <v>152</v>
      </c>
      <c r="C29" s="53" t="s">
        <v>229</v>
      </c>
      <c r="D29" s="53" t="s">
        <v>230</v>
      </c>
      <c r="E29" s="53" t="s">
        <v>231</v>
      </c>
      <c r="F29" s="54">
        <v>250</v>
      </c>
      <c r="G29" s="114">
        <f>(101325*EXP(-Ciudades[[#This Row],[Altitud]]/((101325/(9.8*1.293)))))/6895</f>
        <v>14.243097630573249</v>
      </c>
      <c r="H29" s="114">
        <f>(101325*(1-(Ciudades[[#This Row],[Altitud]]*0.00651*8.314*1.293/101325))^(9.8/(0.00651*8.314)))/6895</f>
        <v>14.243059181596101</v>
      </c>
      <c r="I29" s="55">
        <v>30.3</v>
      </c>
      <c r="J29" s="55">
        <v>30.8</v>
      </c>
      <c r="K29" s="55">
        <v>31.1</v>
      </c>
      <c r="L29" s="55">
        <v>31.5</v>
      </c>
      <c r="M29" s="55">
        <v>32.799999999999997</v>
      </c>
      <c r="N29" s="55">
        <v>32.9</v>
      </c>
      <c r="O29" s="55">
        <v>33</v>
      </c>
      <c r="P29" s="55">
        <v>33.9</v>
      </c>
      <c r="Q29" s="55">
        <v>34</v>
      </c>
      <c r="R29" s="55">
        <v>32.700000000000003</v>
      </c>
      <c r="S29" s="55">
        <v>31.2</v>
      </c>
      <c r="T29" s="55">
        <v>30.1</v>
      </c>
      <c r="U29" s="56">
        <v>32</v>
      </c>
      <c r="V29" s="55">
        <v>22.7</v>
      </c>
      <c r="W29" s="55">
        <v>27.2</v>
      </c>
      <c r="Y29" s="123" t="s">
        <v>485</v>
      </c>
      <c r="Z29" s="12" t="s">
        <v>490</v>
      </c>
      <c r="AA29" s="12">
        <v>-20</v>
      </c>
      <c r="AB29" s="122">
        <f t="shared" si="1"/>
        <v>528.72215709261434</v>
      </c>
      <c r="AC29" s="12">
        <v>529</v>
      </c>
      <c r="AD29" s="124">
        <f t="shared" si="0"/>
        <v>5.2522288730748855E-4</v>
      </c>
    </row>
    <row r="30" spans="1:30">
      <c r="A30" s="52">
        <v>4401504</v>
      </c>
      <c r="B30" s="53" t="s">
        <v>206</v>
      </c>
      <c r="C30" s="53" t="s">
        <v>232</v>
      </c>
      <c r="D30" s="53" t="s">
        <v>233</v>
      </c>
      <c r="E30" s="53" t="s">
        <v>234</v>
      </c>
      <c r="F30" s="54">
        <v>650</v>
      </c>
      <c r="G30" s="114">
        <f>(101325*EXP(-Ciudades[[#This Row],[Altitud]]/((101325/(9.8*1.293)))))/6895</f>
        <v>13.548144689097001</v>
      </c>
      <c r="H30" s="114">
        <f>(101325*(1-(Ciudades[[#This Row],[Altitud]]*0.00651*8.314*1.293/101325))^(9.8/(0.00651*8.314)))/6895</f>
        <v>13.547897412226851</v>
      </c>
      <c r="I30" s="55">
        <v>27.5</v>
      </c>
      <c r="J30" s="55">
        <v>27.6</v>
      </c>
      <c r="K30" s="55">
        <v>27.2</v>
      </c>
      <c r="L30" s="55">
        <v>27.2</v>
      </c>
      <c r="M30" s="55">
        <v>26.5</v>
      </c>
      <c r="N30" s="55">
        <v>25.8</v>
      </c>
      <c r="O30" s="55">
        <v>26.1</v>
      </c>
      <c r="P30" s="55">
        <v>26.7</v>
      </c>
      <c r="Q30" s="55">
        <v>27.7</v>
      </c>
      <c r="R30" s="55">
        <v>28.3</v>
      </c>
      <c r="S30" s="55">
        <v>28.1</v>
      </c>
      <c r="T30" s="55">
        <v>27.9</v>
      </c>
      <c r="U30" s="56">
        <v>27.2</v>
      </c>
      <c r="V30" s="55">
        <v>20.100000000000001</v>
      </c>
      <c r="W30" s="55">
        <v>22.9</v>
      </c>
      <c r="Y30" s="123" t="s">
        <v>485</v>
      </c>
      <c r="Z30" s="12" t="s">
        <v>491</v>
      </c>
      <c r="AA30" s="12">
        <v>-20</v>
      </c>
      <c r="AB30" s="122">
        <f t="shared" si="1"/>
        <v>528.72215709261434</v>
      </c>
      <c r="AC30" s="12">
        <v>529</v>
      </c>
      <c r="AD30" s="124">
        <f t="shared" si="0"/>
        <v>5.2522288730748855E-4</v>
      </c>
    </row>
    <row r="31" spans="1:30">
      <c r="A31" s="52">
        <v>2612506</v>
      </c>
      <c r="B31" s="53" t="s">
        <v>152</v>
      </c>
      <c r="C31" s="53" t="s">
        <v>235</v>
      </c>
      <c r="D31" s="53" t="s">
        <v>236</v>
      </c>
      <c r="E31" s="53" t="s">
        <v>237</v>
      </c>
      <c r="F31" s="54">
        <v>1247</v>
      </c>
      <c r="G31" s="114">
        <f>(101325*EXP(-Ciudades[[#This Row],[Altitud]]/((101325/(9.8*1.293)))))/6895</f>
        <v>12.573489490489884</v>
      </c>
      <c r="H31" s="114">
        <f>(101325*(1-(Ciudades[[#This Row],[Altitud]]*0.00651*8.314*1.293/101325))^(9.8/(0.00651*8.314)))/6895</f>
        <v>12.5726446504165</v>
      </c>
      <c r="I31" s="55">
        <v>27.8</v>
      </c>
      <c r="J31" s="55">
        <v>28</v>
      </c>
      <c r="K31" s="55">
        <v>27.9</v>
      </c>
      <c r="L31" s="55">
        <v>27.5</v>
      </c>
      <c r="M31" s="55">
        <v>27.3</v>
      </c>
      <c r="N31" s="55">
        <v>27.4</v>
      </c>
      <c r="O31" s="55">
        <v>27.9</v>
      </c>
      <c r="P31" s="55">
        <v>28.3</v>
      </c>
      <c r="Q31" s="55">
        <v>27.7</v>
      </c>
      <c r="R31" s="55">
        <v>27.1</v>
      </c>
      <c r="S31" s="55">
        <v>26.9</v>
      </c>
      <c r="T31" s="55">
        <v>27.2</v>
      </c>
      <c r="U31" s="56">
        <v>27.6</v>
      </c>
      <c r="V31" s="55">
        <v>16.7</v>
      </c>
      <c r="W31" s="55">
        <v>22.1</v>
      </c>
      <c r="Y31" s="123" t="s">
        <v>485</v>
      </c>
      <c r="Z31" s="12" t="s">
        <v>489</v>
      </c>
      <c r="AA31" s="12">
        <v>-18</v>
      </c>
      <c r="AB31" s="122">
        <f t="shared" si="1"/>
        <v>528.72215709261434</v>
      </c>
      <c r="AC31" s="12">
        <v>529</v>
      </c>
      <c r="AD31" s="124">
        <f t="shared" si="0"/>
        <v>5.2522288730748855E-4</v>
      </c>
    </row>
    <row r="32" spans="1:30">
      <c r="A32" s="52">
        <v>2613504</v>
      </c>
      <c r="B32" s="53" t="s">
        <v>152</v>
      </c>
      <c r="C32" s="53" t="s">
        <v>238</v>
      </c>
      <c r="D32" s="53" t="s">
        <v>239</v>
      </c>
      <c r="E32" s="53" t="s">
        <v>240</v>
      </c>
      <c r="F32" s="54">
        <v>1367</v>
      </c>
      <c r="G32" s="114">
        <f>(101325*EXP(-Ciudades[[#This Row],[Altitud]]/((101325/(9.8*1.293)))))/6895</f>
        <v>12.386209905291032</v>
      </c>
      <c r="H32" s="114">
        <f>(101325*(1-(Ciudades[[#This Row],[Altitud]]*0.00651*8.314*1.293/101325))^(9.8/(0.00651*8.314)))/6895</f>
        <v>12.385209715746241</v>
      </c>
      <c r="I32" s="55">
        <v>26.8</v>
      </c>
      <c r="J32" s="55">
        <v>27.1</v>
      </c>
      <c r="K32" s="55">
        <v>26.9</v>
      </c>
      <c r="L32" s="55">
        <v>26.2</v>
      </c>
      <c r="M32" s="55">
        <v>25.9</v>
      </c>
      <c r="N32" s="55">
        <v>26</v>
      </c>
      <c r="O32" s="55">
        <v>26.5</v>
      </c>
      <c r="P32" s="55">
        <v>26.9</v>
      </c>
      <c r="Q32" s="55">
        <v>26.4</v>
      </c>
      <c r="R32" s="55">
        <v>25.8</v>
      </c>
      <c r="S32" s="55">
        <v>25.6</v>
      </c>
      <c r="T32" s="55">
        <v>26</v>
      </c>
      <c r="U32" s="56">
        <v>26.3</v>
      </c>
      <c r="V32" s="55">
        <v>17.399999999999999</v>
      </c>
      <c r="W32" s="55">
        <v>21.5</v>
      </c>
      <c r="Y32" s="123" t="s">
        <v>486</v>
      </c>
      <c r="Z32" s="12" t="s">
        <v>489</v>
      </c>
      <c r="AA32" s="12">
        <v>-18</v>
      </c>
      <c r="AB32" s="12">
        <v>445</v>
      </c>
      <c r="AC32" s="12">
        <v>445</v>
      </c>
      <c r="AD32" s="124">
        <f t="shared" si="0"/>
        <v>0</v>
      </c>
    </row>
    <row r="33" spans="1:30">
      <c r="A33" s="52">
        <v>1701501</v>
      </c>
      <c r="B33" s="53" t="s">
        <v>152</v>
      </c>
      <c r="C33" s="53" t="s">
        <v>241</v>
      </c>
      <c r="D33" s="53" t="s">
        <v>242</v>
      </c>
      <c r="E33" s="53" t="s">
        <v>243</v>
      </c>
      <c r="F33" s="54">
        <v>1</v>
      </c>
      <c r="G33" s="114">
        <f>(101325*EXP(-Ciudades[[#This Row],[Altitud]]/((101325/(9.8*1.293)))))/6895</f>
        <v>14.693593820491744</v>
      </c>
      <c r="H33" s="114">
        <f>(101325*(1-(Ciudades[[#This Row],[Altitud]]*0.00651*8.314*1.293/101325))^(9.8/(0.00651*8.314)))/6895</f>
        <v>14.69359381985705</v>
      </c>
      <c r="I33" s="55">
        <v>28.7</v>
      </c>
      <c r="J33" s="55">
        <v>28.8</v>
      </c>
      <c r="K33" s="55">
        <v>29.2</v>
      </c>
      <c r="L33" s="55">
        <v>29.8</v>
      </c>
      <c r="M33" s="55">
        <v>30.2</v>
      </c>
      <c r="N33" s="55">
        <v>30.2</v>
      </c>
      <c r="O33" s="55">
        <v>30</v>
      </c>
      <c r="P33" s="55">
        <v>30.3</v>
      </c>
      <c r="Q33" s="55">
        <v>30.6</v>
      </c>
      <c r="R33" s="55">
        <v>30.2</v>
      </c>
      <c r="S33" s="55">
        <v>29.6</v>
      </c>
      <c r="T33" s="55">
        <v>29.1</v>
      </c>
      <c r="U33" s="56">
        <v>29.7</v>
      </c>
      <c r="V33" s="55">
        <v>25.9</v>
      </c>
      <c r="W33" s="55">
        <v>27.5</v>
      </c>
      <c r="Y33" s="123" t="s">
        <v>487</v>
      </c>
      <c r="Z33" s="12" t="s">
        <v>489</v>
      </c>
      <c r="AA33" s="12">
        <v>-18</v>
      </c>
      <c r="AB33" s="12">
        <v>287</v>
      </c>
      <c r="AC33" s="12">
        <v>287</v>
      </c>
      <c r="AD33" s="124">
        <f t="shared" si="0"/>
        <v>0</v>
      </c>
    </row>
    <row r="34" spans="1:30">
      <c r="A34" s="52">
        <v>2319513</v>
      </c>
      <c r="B34" s="53" t="s">
        <v>152</v>
      </c>
      <c r="C34" s="53" t="s">
        <v>244</v>
      </c>
      <c r="D34" s="53" t="s">
        <v>245</v>
      </c>
      <c r="E34" s="53" t="s">
        <v>246</v>
      </c>
      <c r="F34" s="54">
        <v>1189</v>
      </c>
      <c r="G34" s="114">
        <f>(101325*EXP(-Ciudades[[#This Row],[Altitud]]/((101325/(9.8*1.293)))))/6895</f>
        <v>12.665020403028619</v>
      </c>
      <c r="H34" s="114">
        <f>(101325*(1-(Ciudades[[#This Row],[Altitud]]*0.00651*8.314*1.293/101325))^(9.8/(0.00651*8.314)))/6895</f>
        <v>12.664246752016336</v>
      </c>
      <c r="I34" s="55">
        <v>25.3</v>
      </c>
      <c r="J34" s="55">
        <v>25.5</v>
      </c>
      <c r="K34" s="55">
        <v>25.4</v>
      </c>
      <c r="L34" s="55">
        <v>25.3</v>
      </c>
      <c r="M34" s="55">
        <v>25.6</v>
      </c>
      <c r="N34" s="55">
        <v>25.6</v>
      </c>
      <c r="O34" s="55">
        <v>25.8</v>
      </c>
      <c r="P34" s="55">
        <v>26</v>
      </c>
      <c r="Q34" s="55">
        <v>26</v>
      </c>
      <c r="R34" s="55">
        <v>25.4</v>
      </c>
      <c r="S34" s="55">
        <v>24.9</v>
      </c>
      <c r="T34" s="55">
        <v>25</v>
      </c>
      <c r="U34" s="56">
        <v>25.5</v>
      </c>
      <c r="V34" s="55">
        <v>18.600000000000001</v>
      </c>
      <c r="W34" s="55">
        <v>21.4</v>
      </c>
      <c r="Y34" s="123" t="s">
        <v>488</v>
      </c>
      <c r="Z34" s="12" t="s">
        <v>490</v>
      </c>
      <c r="AA34" s="12">
        <v>-20</v>
      </c>
      <c r="AB34" s="122">
        <f>(10000/27)/3.412</f>
        <v>108.54934653293388</v>
      </c>
      <c r="AC34" s="12">
        <v>109</v>
      </c>
      <c r="AD34" s="124">
        <f t="shared" si="0"/>
        <v>4.1344354776708088E-3</v>
      </c>
    </row>
    <row r="35" spans="1:30">
      <c r="A35" s="52">
        <v>2315503</v>
      </c>
      <c r="B35" s="53" t="s">
        <v>152</v>
      </c>
      <c r="C35" s="53" t="s">
        <v>247</v>
      </c>
      <c r="D35" s="53" t="s">
        <v>248</v>
      </c>
      <c r="E35" s="53" t="s">
        <v>246</v>
      </c>
      <c r="F35" s="54">
        <v>126</v>
      </c>
      <c r="G35" s="114">
        <f>(101325*EXP(-Ciudades[[#This Row],[Altitud]]/((101325/(9.8*1.293)))))/6895</f>
        <v>14.465687704055771</v>
      </c>
      <c r="H35" s="114">
        <f>(101325*(1-(Ciudades[[#This Row],[Altitud]]*0.00651*8.314*1.293/101325))^(9.8/(0.00651*8.314)))/6895</f>
        <v>14.465677785324143</v>
      </c>
      <c r="I35" s="55">
        <v>32.799999999999997</v>
      </c>
      <c r="J35" s="55">
        <v>33.1</v>
      </c>
      <c r="K35" s="55">
        <v>32.6</v>
      </c>
      <c r="L35" s="55">
        <v>32</v>
      </c>
      <c r="M35" s="55">
        <v>31.8</v>
      </c>
      <c r="N35" s="55">
        <v>32</v>
      </c>
      <c r="O35" s="55">
        <v>32.4</v>
      </c>
      <c r="P35" s="55">
        <v>32.4</v>
      </c>
      <c r="Q35" s="55">
        <v>31.7</v>
      </c>
      <c r="R35" s="55">
        <v>31.1</v>
      </c>
      <c r="S35" s="55">
        <v>31.2</v>
      </c>
      <c r="T35" s="55">
        <v>31.7</v>
      </c>
      <c r="U35" s="56">
        <v>32.1</v>
      </c>
      <c r="V35" s="55">
        <v>23.4</v>
      </c>
      <c r="W35" s="55">
        <v>27.9</v>
      </c>
      <c r="Y35" s="123" t="s">
        <v>488</v>
      </c>
      <c r="Z35" s="12" t="s">
        <v>491</v>
      </c>
      <c r="AA35" s="12">
        <v>-20</v>
      </c>
      <c r="AB35" s="122">
        <f>(10000/27)/3.412</f>
        <v>108.54934653293388</v>
      </c>
      <c r="AC35" s="12">
        <v>109</v>
      </c>
      <c r="AD35" s="124">
        <f t="shared" si="0"/>
        <v>4.1344354776708088E-3</v>
      </c>
    </row>
    <row r="36" spans="1:30">
      <c r="A36" s="52">
        <v>2502508</v>
      </c>
      <c r="B36" s="53" t="s">
        <v>179</v>
      </c>
      <c r="C36" s="53" t="s">
        <v>249</v>
      </c>
      <c r="D36" s="53" t="s">
        <v>250</v>
      </c>
      <c r="E36" s="53" t="s">
        <v>251</v>
      </c>
      <c r="F36" s="54">
        <v>166</v>
      </c>
      <c r="G36" s="114">
        <f>(101325*EXP(-Ciudades[[#This Row],[Altitud]]/((101325/(9.8*1.293)))))/6895</f>
        <v>14.393506971389444</v>
      </c>
      <c r="H36" s="114">
        <f>(101325*(1-(Ciudades[[#This Row],[Altitud]]*0.00651*8.314*1.293/101325))^(9.8/(0.00651*8.314)))/6895</f>
        <v>14.393489841023083</v>
      </c>
      <c r="I36" s="55">
        <v>33.700000000000003</v>
      </c>
      <c r="J36" s="55">
        <v>34.1</v>
      </c>
      <c r="K36" s="55">
        <v>34.299999999999997</v>
      </c>
      <c r="L36" s="55">
        <v>33.5</v>
      </c>
      <c r="M36" s="55">
        <v>32.1</v>
      </c>
      <c r="N36" s="55">
        <v>31.4</v>
      </c>
      <c r="O36" s="55">
        <v>32.200000000000003</v>
      </c>
      <c r="P36" s="55">
        <v>32.200000000000003</v>
      </c>
      <c r="Q36" s="55">
        <v>31.4</v>
      </c>
      <c r="R36" s="55">
        <v>31.1</v>
      </c>
      <c r="S36" s="55">
        <v>31.5</v>
      </c>
      <c r="T36" s="55">
        <v>32.6</v>
      </c>
      <c r="U36" s="56">
        <v>32.5</v>
      </c>
      <c r="V36" s="55">
        <v>22.7</v>
      </c>
      <c r="W36" s="55">
        <v>27.5</v>
      </c>
      <c r="Y36" s="126" t="s">
        <v>488</v>
      </c>
      <c r="Z36" s="17" t="s">
        <v>489</v>
      </c>
      <c r="AA36" s="17">
        <v>-18</v>
      </c>
      <c r="AB36" s="127">
        <f>(10000/27)/3.412</f>
        <v>108.54934653293388</v>
      </c>
      <c r="AC36" s="17">
        <v>109</v>
      </c>
      <c r="AD36" s="128">
        <f t="shared" si="0"/>
        <v>4.1344354776708088E-3</v>
      </c>
    </row>
    <row r="37" spans="1:30">
      <c r="A37" s="52">
        <v>2124504</v>
      </c>
      <c r="B37" s="53" t="s">
        <v>179</v>
      </c>
      <c r="C37" s="53" t="s">
        <v>252</v>
      </c>
      <c r="D37" s="53" t="s">
        <v>253</v>
      </c>
      <c r="E37" s="53" t="s">
        <v>254</v>
      </c>
      <c r="F37" s="54">
        <v>928</v>
      </c>
      <c r="G37" s="114">
        <f>(101325*EXP(-Ciudades[[#This Row],[Altitud]]/((101325/(9.8*1.293)))))/6895</f>
        <v>13.085225510080072</v>
      </c>
      <c r="H37" s="114">
        <f>(101325*(1-(Ciudades[[#This Row],[Altitud]]*0.00651*8.314*1.293/101325))^(9.8/(0.00651*8.314)))/6895</f>
        <v>13.08473864836971</v>
      </c>
      <c r="I37" s="55">
        <v>28.8</v>
      </c>
      <c r="J37" s="55">
        <v>29.1</v>
      </c>
      <c r="K37" s="55">
        <v>28.8</v>
      </c>
      <c r="L37" s="55">
        <v>28.2</v>
      </c>
      <c r="M37" s="55">
        <v>28.2</v>
      </c>
      <c r="N37" s="55">
        <v>28.9</v>
      </c>
      <c r="O37" s="55">
        <v>29.8</v>
      </c>
      <c r="P37" s="55">
        <v>30.8</v>
      </c>
      <c r="Q37" s="55">
        <v>29.9</v>
      </c>
      <c r="R37" s="55">
        <v>28.2</v>
      </c>
      <c r="S37" s="55">
        <v>27.5</v>
      </c>
      <c r="T37" s="55">
        <v>28</v>
      </c>
      <c r="U37" s="56">
        <v>28.8</v>
      </c>
      <c r="V37" s="55">
        <v>19.100000000000001</v>
      </c>
      <c r="W37" s="55">
        <v>24</v>
      </c>
      <c r="Y37" s="142" t="s">
        <v>499</v>
      </c>
      <c r="Z37" s="12" t="s">
        <v>504</v>
      </c>
      <c r="AA37" s="12">
        <v>-2</v>
      </c>
      <c r="AB37" s="122">
        <f>(890*3.28)/3.412</f>
        <v>855.56858147713945</v>
      </c>
      <c r="AC37" s="122">
        <f t="shared" ref="AC37:AC43" si="2">(1485*3.28)/3.412</f>
        <v>1427.5498241500584</v>
      </c>
      <c r="AD37" s="124">
        <f t="shared" ref="AD37:AD61" si="3">(AC37-AB37)/AC37</f>
        <v>0.40067340067340063</v>
      </c>
    </row>
    <row r="38" spans="1:30">
      <c r="A38" s="52">
        <v>2118502</v>
      </c>
      <c r="B38" s="53" t="s">
        <v>159</v>
      </c>
      <c r="C38" s="53" t="s">
        <v>255</v>
      </c>
      <c r="D38" s="53" t="s">
        <v>256</v>
      </c>
      <c r="E38" s="53" t="s">
        <v>254</v>
      </c>
      <c r="F38" s="54">
        <v>431</v>
      </c>
      <c r="G38" s="114">
        <f>(101325*EXP(-Ciudades[[#This Row],[Altitud]]/((101325/(9.8*1.293)))))/6895</f>
        <v>13.924322017848588</v>
      </c>
      <c r="H38" s="114">
        <f>(101325*(1-(Ciudades[[#This Row],[Altitud]]*0.00651*8.314*1.293/101325))^(9.8/(0.00651*8.314)))/6895</f>
        <v>13.924210289348665</v>
      </c>
      <c r="I38" s="55">
        <v>32.9</v>
      </c>
      <c r="J38" s="55">
        <v>33.1</v>
      </c>
      <c r="K38" s="55">
        <v>32.6</v>
      </c>
      <c r="L38" s="55">
        <v>31.8</v>
      </c>
      <c r="M38" s="55">
        <v>31.6</v>
      </c>
      <c r="N38" s="55">
        <v>32</v>
      </c>
      <c r="O38" s="55">
        <v>33.299999999999997</v>
      </c>
      <c r="P38" s="55">
        <v>34.700000000000003</v>
      </c>
      <c r="Q38" s="55">
        <v>33.799999999999997</v>
      </c>
      <c r="R38" s="55">
        <v>32</v>
      </c>
      <c r="S38" s="55">
        <v>31.4</v>
      </c>
      <c r="T38" s="55">
        <v>31.8</v>
      </c>
      <c r="U38" s="56">
        <v>32.6</v>
      </c>
      <c r="V38" s="55">
        <v>22.5</v>
      </c>
      <c r="W38" s="55">
        <v>28.1</v>
      </c>
      <c r="Y38" s="142" t="s">
        <v>499</v>
      </c>
      <c r="Z38" s="12" t="s">
        <v>505</v>
      </c>
      <c r="AA38" s="12">
        <v>0</v>
      </c>
      <c r="AB38" s="122">
        <f t="shared" ref="AB38:AB43" si="4">(890*3.28)/3.412</f>
        <v>855.56858147713945</v>
      </c>
      <c r="AC38" s="122">
        <f t="shared" si="2"/>
        <v>1427.5498241500584</v>
      </c>
      <c r="AD38" s="124">
        <f t="shared" si="3"/>
        <v>0.40067340067340063</v>
      </c>
    </row>
    <row r="39" spans="1:30">
      <c r="A39" s="52">
        <v>2605507</v>
      </c>
      <c r="B39" s="53" t="s">
        <v>170</v>
      </c>
      <c r="C39" s="53" t="s">
        <v>257</v>
      </c>
      <c r="D39" s="53" t="s">
        <v>258</v>
      </c>
      <c r="E39" s="53" t="s">
        <v>259</v>
      </c>
      <c r="F39" s="54">
        <v>1004</v>
      </c>
      <c r="G39" s="114">
        <f>(101325*EXP(-Ciudades[[#This Row],[Altitud]]/((101325/(9.8*1.293)))))/6895</f>
        <v>12.961448329131887</v>
      </c>
      <c r="H39" s="114">
        <f>(101325*(1-(Ciudades[[#This Row],[Altitud]]*0.00651*8.314*1.293/101325))^(9.8/(0.00651*8.314)))/6895</f>
        <v>12.960883830045725</v>
      </c>
      <c r="I39" s="55">
        <v>30</v>
      </c>
      <c r="J39" s="55">
        <v>30.3</v>
      </c>
      <c r="K39" s="55">
        <v>30.2</v>
      </c>
      <c r="L39" s="55">
        <v>29.6</v>
      </c>
      <c r="M39" s="55">
        <v>29.4</v>
      </c>
      <c r="N39" s="55">
        <v>29.6</v>
      </c>
      <c r="O39" s="55">
        <v>30.3</v>
      </c>
      <c r="P39" s="55">
        <v>31.1</v>
      </c>
      <c r="Q39" s="55">
        <v>30.7</v>
      </c>
      <c r="R39" s="55">
        <v>29.5</v>
      </c>
      <c r="S39" s="55">
        <v>29</v>
      </c>
      <c r="T39" s="55">
        <v>29.2</v>
      </c>
      <c r="U39" s="56">
        <v>29.9</v>
      </c>
      <c r="V39" s="55">
        <v>19.2</v>
      </c>
      <c r="W39" s="55">
        <v>24.5</v>
      </c>
      <c r="Y39" s="142" t="s">
        <v>499</v>
      </c>
      <c r="Z39" s="12" t="s">
        <v>506</v>
      </c>
      <c r="AA39" s="12">
        <v>5</v>
      </c>
      <c r="AB39" s="122">
        <f t="shared" si="4"/>
        <v>855.56858147713945</v>
      </c>
      <c r="AC39" s="122">
        <f t="shared" si="2"/>
        <v>1427.5498241500584</v>
      </c>
      <c r="AD39" s="124">
        <f t="shared" si="3"/>
        <v>0.40067340067340063</v>
      </c>
    </row>
    <row r="40" spans="1:30">
      <c r="A40" s="52">
        <v>5311501</v>
      </c>
      <c r="B40" s="53" t="s">
        <v>152</v>
      </c>
      <c r="C40" s="53" t="s">
        <v>260</v>
      </c>
      <c r="D40" s="53" t="s">
        <v>261</v>
      </c>
      <c r="E40" s="53" t="s">
        <v>262</v>
      </c>
      <c r="F40" s="54">
        <v>14</v>
      </c>
      <c r="G40" s="114">
        <f>(101325*EXP(-Ciudades[[#This Row],[Altitud]]/((101325/(9.8*1.293)))))/6895</f>
        <v>14.669725250882575</v>
      </c>
      <c r="H40" s="114">
        <f>(101325*(1-(Ciudades[[#This Row],[Altitud]]*0.00651*8.314*1.293/101325))^(9.8/(0.00651*8.314)))/6895</f>
        <v>14.669725126708292</v>
      </c>
      <c r="I40" s="55">
        <v>29.6</v>
      </c>
      <c r="J40" s="55">
        <v>30.6</v>
      </c>
      <c r="K40" s="55">
        <v>30.9</v>
      </c>
      <c r="L40" s="55">
        <v>31.1</v>
      </c>
      <c r="M40" s="55">
        <v>30.9</v>
      </c>
      <c r="N40" s="55">
        <v>30.4</v>
      </c>
      <c r="O40" s="55">
        <v>30.3</v>
      </c>
      <c r="P40" s="55">
        <v>30.4</v>
      </c>
      <c r="Q40" s="55">
        <v>30.2</v>
      </c>
      <c r="R40" s="55">
        <v>30</v>
      </c>
      <c r="S40" s="55">
        <v>29.6</v>
      </c>
      <c r="T40" s="55">
        <v>29.6</v>
      </c>
      <c r="U40" s="56">
        <v>30.3</v>
      </c>
      <c r="V40" s="55">
        <v>22.8</v>
      </c>
      <c r="W40" s="55">
        <v>26</v>
      </c>
      <c r="Y40" s="142" t="s">
        <v>499</v>
      </c>
      <c r="Z40" s="12" t="s">
        <v>507</v>
      </c>
      <c r="AA40" s="12">
        <v>0</v>
      </c>
      <c r="AB40" s="122">
        <f t="shared" si="4"/>
        <v>855.56858147713945</v>
      </c>
      <c r="AC40" s="122">
        <f t="shared" si="2"/>
        <v>1427.5498241500584</v>
      </c>
      <c r="AD40" s="124">
        <f t="shared" si="3"/>
        <v>0.40067340067340063</v>
      </c>
    </row>
    <row r="41" spans="1:30">
      <c r="A41" s="52">
        <v>4207501</v>
      </c>
      <c r="B41" s="53" t="s">
        <v>170</v>
      </c>
      <c r="C41" s="53" t="s">
        <v>263</v>
      </c>
      <c r="D41" s="53" t="s">
        <v>263</v>
      </c>
      <c r="E41" s="53" t="s">
        <v>264</v>
      </c>
      <c r="F41" s="54">
        <v>180</v>
      </c>
      <c r="G41" s="114">
        <f>(101325*EXP(-Ciudades[[#This Row],[Altitud]]/((101325/(9.8*1.293)))))/6895</f>
        <v>14.368328896507213</v>
      </c>
      <c r="H41" s="114">
        <f>(101325*(1-(Ciudades[[#This Row],[Altitud]]*0.00651*8.314*1.293/101325))^(9.8/(0.00651*8.314)))/6895</f>
        <v>14.368308789942446</v>
      </c>
      <c r="I41" s="55">
        <v>30.1</v>
      </c>
      <c r="J41" s="55">
        <v>30.1</v>
      </c>
      <c r="K41" s="55">
        <v>30.2</v>
      </c>
      <c r="L41" s="55">
        <v>30.1</v>
      </c>
      <c r="M41" s="55">
        <v>29.9</v>
      </c>
      <c r="N41" s="55">
        <v>29.9</v>
      </c>
      <c r="O41" s="55">
        <v>29.8</v>
      </c>
      <c r="P41" s="55">
        <v>30.1</v>
      </c>
      <c r="Q41" s="55">
        <v>30.1</v>
      </c>
      <c r="R41" s="55">
        <v>30.1</v>
      </c>
      <c r="S41" s="55">
        <v>30.4</v>
      </c>
      <c r="T41" s="55">
        <v>29.9</v>
      </c>
      <c r="U41" s="56">
        <v>30.1</v>
      </c>
      <c r="V41" s="55">
        <v>20.9</v>
      </c>
      <c r="W41" s="55">
        <v>24.7</v>
      </c>
      <c r="Y41" s="142" t="s">
        <v>499</v>
      </c>
      <c r="Z41" s="12" t="s">
        <v>508</v>
      </c>
      <c r="AA41" s="12">
        <v>1</v>
      </c>
      <c r="AB41" s="122">
        <f t="shared" si="4"/>
        <v>855.56858147713945</v>
      </c>
      <c r="AC41" s="122">
        <f t="shared" si="2"/>
        <v>1427.5498241500584</v>
      </c>
      <c r="AD41" s="124">
        <f t="shared" si="3"/>
        <v>0.40067340067340063</v>
      </c>
    </row>
    <row r="42" spans="1:30">
      <c r="A42" s="57">
        <v>3801503</v>
      </c>
      <c r="B42" s="58" t="s">
        <v>152</v>
      </c>
      <c r="C42" s="58" t="s">
        <v>265</v>
      </c>
      <c r="D42" s="58" t="s">
        <v>266</v>
      </c>
      <c r="E42" s="58" t="s">
        <v>267</v>
      </c>
      <c r="F42" s="59">
        <v>50</v>
      </c>
      <c r="G42" s="115">
        <f>(101325*EXP(-Ciudades[[#This Row],[Altitud]]/((101325/(9.8*1.293)))))/6895</f>
        <v>14.603829831310213</v>
      </c>
      <c r="H42" s="115">
        <f>(101325*(1-(Ciudades[[#This Row],[Altitud]]*0.00651*8.314*1.293/101325))^(9.8/(0.00651*8.314)))/6895</f>
        <v>14.603828254542677</v>
      </c>
      <c r="I42" s="60">
        <v>34.799999999999997</v>
      </c>
      <c r="J42" s="60">
        <v>35.700000000000003</v>
      </c>
      <c r="K42" s="60">
        <v>36.1</v>
      </c>
      <c r="L42" s="60">
        <v>34.299999999999997</v>
      </c>
      <c r="M42" s="60">
        <v>32.200000000000003</v>
      </c>
      <c r="N42" s="60">
        <v>31</v>
      </c>
      <c r="O42" s="60">
        <v>30.7</v>
      </c>
      <c r="P42" s="60">
        <v>31.4</v>
      </c>
      <c r="Q42" s="60">
        <v>32.4</v>
      </c>
      <c r="R42" s="60">
        <v>33.299999999999997</v>
      </c>
      <c r="S42" s="60">
        <v>33.5</v>
      </c>
      <c r="T42" s="60">
        <v>33.799999999999997</v>
      </c>
      <c r="U42" s="61">
        <v>33.299999999999997</v>
      </c>
      <c r="V42" s="55">
        <v>23.8</v>
      </c>
      <c r="W42" s="60">
        <v>28.5</v>
      </c>
      <c r="Y42" s="142" t="s">
        <v>499</v>
      </c>
      <c r="Z42" s="12" t="s">
        <v>509</v>
      </c>
      <c r="AA42" s="12">
        <v>3</v>
      </c>
      <c r="AB42" s="122">
        <f t="shared" si="4"/>
        <v>855.56858147713945</v>
      </c>
      <c r="AC42" s="122">
        <f t="shared" si="2"/>
        <v>1427.5498241500584</v>
      </c>
      <c r="AD42" s="124">
        <f t="shared" si="3"/>
        <v>0.40067340067340063</v>
      </c>
    </row>
    <row r="43" spans="1:30">
      <c r="Y43" s="142" t="s">
        <v>499</v>
      </c>
      <c r="Z43" s="12" t="s">
        <v>510</v>
      </c>
      <c r="AA43" s="12">
        <v>2</v>
      </c>
      <c r="AB43" s="122">
        <f t="shared" si="4"/>
        <v>855.56858147713945</v>
      </c>
      <c r="AC43" s="122">
        <f t="shared" si="2"/>
        <v>1427.5498241500584</v>
      </c>
      <c r="AD43" s="124">
        <f t="shared" si="3"/>
        <v>0.40067340067340063</v>
      </c>
    </row>
    <row r="44" spans="1:30">
      <c r="Y44" s="142" t="s">
        <v>500</v>
      </c>
      <c r="Z44" s="12" t="s">
        <v>504</v>
      </c>
      <c r="AA44" s="12">
        <v>-2</v>
      </c>
      <c r="AB44" s="122">
        <f t="shared" ref="AB44:AB50" si="5">(890*0.8*3.28)/3.412</f>
        <v>684.45486518171151</v>
      </c>
      <c r="AC44" s="122">
        <f t="shared" ref="AC44:AC50" si="6">(1485*0.8*3.28)/3.412</f>
        <v>1142.0398593200468</v>
      </c>
      <c r="AD44" s="124">
        <f t="shared" si="3"/>
        <v>0.40067340067340074</v>
      </c>
    </row>
    <row r="45" spans="1:30">
      <c r="Y45" s="142" t="s">
        <v>500</v>
      </c>
      <c r="Z45" s="12" t="s">
        <v>505</v>
      </c>
      <c r="AA45" s="12">
        <v>0</v>
      </c>
      <c r="AB45" s="122">
        <f t="shared" si="5"/>
        <v>684.45486518171151</v>
      </c>
      <c r="AC45" s="122">
        <f t="shared" si="6"/>
        <v>1142.0398593200468</v>
      </c>
      <c r="AD45" s="124">
        <f t="shared" si="3"/>
        <v>0.40067340067340074</v>
      </c>
    </row>
    <row r="46" spans="1:30">
      <c r="Y46" s="142" t="s">
        <v>500</v>
      </c>
      <c r="Z46" s="12" t="s">
        <v>506</v>
      </c>
      <c r="AA46" s="12">
        <v>5</v>
      </c>
      <c r="AB46" s="122">
        <f t="shared" si="5"/>
        <v>684.45486518171151</v>
      </c>
      <c r="AC46" s="122">
        <f t="shared" si="6"/>
        <v>1142.0398593200468</v>
      </c>
      <c r="AD46" s="124">
        <f t="shared" si="3"/>
        <v>0.40067340067340074</v>
      </c>
    </row>
    <row r="47" spans="1:30">
      <c r="Y47" s="142" t="s">
        <v>500</v>
      </c>
      <c r="Z47" s="12" t="s">
        <v>507</v>
      </c>
      <c r="AA47" s="12">
        <v>0</v>
      </c>
      <c r="AB47" s="122">
        <f t="shared" si="5"/>
        <v>684.45486518171151</v>
      </c>
      <c r="AC47" s="122">
        <f t="shared" si="6"/>
        <v>1142.0398593200468</v>
      </c>
      <c r="AD47" s="124">
        <f t="shared" si="3"/>
        <v>0.40067340067340074</v>
      </c>
    </row>
    <row r="48" spans="1:30">
      <c r="Y48" s="142" t="s">
        <v>500</v>
      </c>
      <c r="Z48" s="12" t="s">
        <v>508</v>
      </c>
      <c r="AA48" s="12">
        <v>1</v>
      </c>
      <c r="AB48" s="122">
        <f t="shared" si="5"/>
        <v>684.45486518171151</v>
      </c>
      <c r="AC48" s="122">
        <f t="shared" si="6"/>
        <v>1142.0398593200468</v>
      </c>
      <c r="AD48" s="124">
        <f t="shared" si="3"/>
        <v>0.40067340067340074</v>
      </c>
    </row>
    <row r="49" spans="1:30">
      <c r="Y49" s="142" t="s">
        <v>500</v>
      </c>
      <c r="Z49" s="12" t="s">
        <v>509</v>
      </c>
      <c r="AA49" s="12">
        <v>3</v>
      </c>
      <c r="AB49" s="122">
        <f t="shared" si="5"/>
        <v>684.45486518171151</v>
      </c>
      <c r="AC49" s="122">
        <f t="shared" si="6"/>
        <v>1142.0398593200468</v>
      </c>
      <c r="AD49" s="124">
        <f t="shared" si="3"/>
        <v>0.40067340067340074</v>
      </c>
    </row>
    <row r="50" spans="1:30">
      <c r="Y50" s="142" t="s">
        <v>500</v>
      </c>
      <c r="Z50" s="12" t="s">
        <v>510</v>
      </c>
      <c r="AA50" s="12">
        <v>2</v>
      </c>
      <c r="AB50" s="122">
        <f t="shared" si="5"/>
        <v>684.45486518171151</v>
      </c>
      <c r="AC50" s="122">
        <f t="shared" si="6"/>
        <v>1142.0398593200468</v>
      </c>
      <c r="AD50" s="124">
        <f t="shared" si="3"/>
        <v>0.40067340067340074</v>
      </c>
    </row>
    <row r="51" spans="1:30">
      <c r="A51" s="107" t="s">
        <v>312</v>
      </c>
      <c r="B51" s="106" t="s">
        <v>313</v>
      </c>
      <c r="C51" s="106" t="s">
        <v>331</v>
      </c>
      <c r="D51" s="106" t="s">
        <v>314</v>
      </c>
      <c r="E51" s="106" t="s">
        <v>315</v>
      </c>
      <c r="F51" s="106" t="s">
        <v>332</v>
      </c>
      <c r="G51" s="106" t="s">
        <v>316</v>
      </c>
      <c r="H51" s="106" t="s">
        <v>317</v>
      </c>
      <c r="I51" s="106" t="s">
        <v>318</v>
      </c>
      <c r="J51" s="106" t="s">
        <v>319</v>
      </c>
      <c r="K51" s="106" t="s">
        <v>320</v>
      </c>
      <c r="L51" s="106" t="s">
        <v>321</v>
      </c>
      <c r="M51" s="107" t="s">
        <v>322</v>
      </c>
      <c r="N51" s="106" t="s">
        <v>323</v>
      </c>
      <c r="O51" s="106" t="s">
        <v>324</v>
      </c>
      <c r="P51" s="106" t="s">
        <v>325</v>
      </c>
      <c r="Q51" s="106" t="s">
        <v>326</v>
      </c>
      <c r="R51" s="106" t="s">
        <v>327</v>
      </c>
      <c r="S51" s="106" t="s">
        <v>328</v>
      </c>
      <c r="T51" s="106" t="s">
        <v>329</v>
      </c>
      <c r="U51" s="107" t="s">
        <v>466</v>
      </c>
      <c r="Y51" s="142" t="s">
        <v>661</v>
      </c>
      <c r="Z51" s="12" t="s">
        <v>504</v>
      </c>
      <c r="AA51" s="12">
        <v>-2</v>
      </c>
      <c r="AB51" s="122">
        <f>(550*3.28)/3.412</f>
        <v>528.72215709261434</v>
      </c>
      <c r="AC51" s="122">
        <f>(550*3.28)/3.412</f>
        <v>528.72215709261434</v>
      </c>
      <c r="AD51" s="124">
        <f t="shared" si="3"/>
        <v>0</v>
      </c>
    </row>
    <row r="52" spans="1:30">
      <c r="A52" s="108">
        <v>-100</v>
      </c>
      <c r="B52" s="1">
        <v>2.0100000000000001E-3</v>
      </c>
      <c r="C52" s="108">
        <f t="shared" ref="C52:C83" si="7">B52*145.038</f>
        <v>0.29152638000000003</v>
      </c>
      <c r="D52" s="1">
        <v>1571.3</v>
      </c>
      <c r="E52" s="1">
        <f t="shared" ref="E52:E83" si="8">1/F52</f>
        <v>0.12097749818533753</v>
      </c>
      <c r="F52" s="1">
        <v>8.266</v>
      </c>
      <c r="G52" s="1">
        <v>90.71</v>
      </c>
      <c r="H52" s="1">
        <v>358.97</v>
      </c>
      <c r="I52" s="1">
        <v>0.505</v>
      </c>
      <c r="J52" s="1">
        <v>2.0543</v>
      </c>
      <c r="K52" s="1">
        <v>1.0609999999999999</v>
      </c>
      <c r="L52" s="1">
        <v>0.497</v>
      </c>
      <c r="M52" s="1">
        <v>1.2430000000000001</v>
      </c>
      <c r="N52" s="1">
        <v>1127</v>
      </c>
      <c r="O52" s="1">
        <v>143.6</v>
      </c>
      <c r="P52" s="1">
        <v>845.8</v>
      </c>
      <c r="Q52" s="1">
        <v>7.25</v>
      </c>
      <c r="R52" s="1">
        <v>143.1</v>
      </c>
      <c r="S52" s="1">
        <v>4.46</v>
      </c>
      <c r="T52" s="1">
        <v>28.12</v>
      </c>
      <c r="U52" s="1">
        <v>-100</v>
      </c>
      <c r="Y52" s="142" t="s">
        <v>661</v>
      </c>
      <c r="Z52" s="12" t="s">
        <v>507</v>
      </c>
      <c r="AA52" s="12">
        <v>0</v>
      </c>
      <c r="AB52" s="122">
        <f t="shared" ref="AB52:AB58" si="9">(550*3.28)/3.412</f>
        <v>528.72215709261434</v>
      </c>
      <c r="AC52" s="122">
        <f t="shared" ref="AC52:AC58" si="10">(550*3.28)/3.412</f>
        <v>528.72215709261434</v>
      </c>
      <c r="AD52" s="124">
        <f t="shared" si="3"/>
        <v>0</v>
      </c>
    </row>
    <row r="53" spans="1:30">
      <c r="A53" s="108">
        <v>-90</v>
      </c>
      <c r="B53" s="1">
        <v>4.81E-3</v>
      </c>
      <c r="C53" s="108">
        <f t="shared" si="7"/>
        <v>0.69763278000000006</v>
      </c>
      <c r="D53" s="1">
        <v>1544.9</v>
      </c>
      <c r="E53" s="1">
        <f t="shared" si="8"/>
        <v>0.27436347673397715</v>
      </c>
      <c r="F53" s="1">
        <v>3.6448</v>
      </c>
      <c r="G53" s="1">
        <v>101.32</v>
      </c>
      <c r="H53" s="1">
        <v>363.85</v>
      </c>
      <c r="I53" s="1">
        <v>0.56459999999999999</v>
      </c>
      <c r="J53" s="1">
        <v>1.998</v>
      </c>
      <c r="K53" s="1">
        <v>1.0609999999999999</v>
      </c>
      <c r="L53" s="1">
        <v>0.51200000000000001</v>
      </c>
      <c r="M53" s="1">
        <v>1.2370000000000001</v>
      </c>
      <c r="N53" s="1">
        <v>1080</v>
      </c>
      <c r="O53" s="1">
        <v>147</v>
      </c>
      <c r="P53" s="1">
        <v>699.4</v>
      </c>
      <c r="Q53" s="1">
        <v>7.67</v>
      </c>
      <c r="R53" s="1">
        <v>137.80000000000001</v>
      </c>
      <c r="S53" s="1">
        <v>4.84</v>
      </c>
      <c r="T53" s="1">
        <v>26.36</v>
      </c>
      <c r="U53" s="1">
        <v>-90</v>
      </c>
      <c r="Y53" s="142" t="s">
        <v>661</v>
      </c>
      <c r="Z53" s="12" t="s">
        <v>508</v>
      </c>
      <c r="AA53" s="12">
        <v>1</v>
      </c>
      <c r="AB53" s="122">
        <f t="shared" si="9"/>
        <v>528.72215709261434</v>
      </c>
      <c r="AC53" s="122">
        <f t="shared" si="10"/>
        <v>528.72215709261434</v>
      </c>
      <c r="AD53" s="124">
        <f t="shared" si="3"/>
        <v>0</v>
      </c>
    </row>
    <row r="54" spans="1:30">
      <c r="A54" s="108">
        <v>-80</v>
      </c>
      <c r="B54" s="1">
        <v>1.0370000000000001E-2</v>
      </c>
      <c r="C54" s="108">
        <f t="shared" si="7"/>
        <v>1.5040440600000002</v>
      </c>
      <c r="D54" s="1">
        <v>1518.2</v>
      </c>
      <c r="E54" s="1">
        <f t="shared" si="8"/>
        <v>0.56236643797098185</v>
      </c>
      <c r="F54" s="1">
        <v>1.7782</v>
      </c>
      <c r="G54" s="1">
        <v>111.94</v>
      </c>
      <c r="H54" s="1">
        <v>368.77</v>
      </c>
      <c r="I54" s="1">
        <v>0.621</v>
      </c>
      <c r="J54" s="1">
        <v>1.9508000000000001</v>
      </c>
      <c r="K54" s="1">
        <v>1.0620000000000001</v>
      </c>
      <c r="L54" s="1">
        <v>0.52800000000000002</v>
      </c>
      <c r="M54" s="1">
        <v>1.2330000000000001</v>
      </c>
      <c r="N54" s="1">
        <v>1033</v>
      </c>
      <c r="O54" s="1">
        <v>150.30000000000001</v>
      </c>
      <c r="P54" s="1">
        <v>591</v>
      </c>
      <c r="Q54" s="1">
        <v>8.09</v>
      </c>
      <c r="R54" s="1">
        <v>132.6</v>
      </c>
      <c r="S54" s="1">
        <v>5.25</v>
      </c>
      <c r="T54" s="1">
        <v>24.63</v>
      </c>
      <c r="U54" s="1">
        <v>-80</v>
      </c>
      <c r="Y54" s="142" t="s">
        <v>662</v>
      </c>
      <c r="Z54" s="12" t="s">
        <v>504</v>
      </c>
      <c r="AA54" s="12">
        <v>-2</v>
      </c>
      <c r="AB54" s="122">
        <f t="shared" si="9"/>
        <v>528.72215709261434</v>
      </c>
      <c r="AC54" s="122">
        <f t="shared" si="10"/>
        <v>528.72215709261434</v>
      </c>
      <c r="AD54" s="124">
        <f t="shared" si="3"/>
        <v>0</v>
      </c>
    </row>
    <row r="55" spans="1:30">
      <c r="A55" s="108">
        <v>-70</v>
      </c>
      <c r="B55" s="1">
        <v>2.0469999999999999E-2</v>
      </c>
      <c r="C55" s="108">
        <f t="shared" si="7"/>
        <v>2.96892786</v>
      </c>
      <c r="D55" s="1">
        <v>1491.2</v>
      </c>
      <c r="E55" s="1">
        <f t="shared" si="8"/>
        <v>1.0599732886731255</v>
      </c>
      <c r="F55" s="1">
        <v>0.94342000000000004</v>
      </c>
      <c r="G55" s="1">
        <v>122.58</v>
      </c>
      <c r="H55" s="1">
        <v>373.7</v>
      </c>
      <c r="I55" s="1">
        <v>0.67469999999999997</v>
      </c>
      <c r="J55" s="1">
        <v>1.9108000000000001</v>
      </c>
      <c r="K55" s="1">
        <v>1.0649999999999999</v>
      </c>
      <c r="L55" s="1">
        <v>0.54500000000000004</v>
      </c>
      <c r="M55" s="1">
        <v>1.2310000000000001</v>
      </c>
      <c r="N55" s="1">
        <v>986</v>
      </c>
      <c r="O55" s="1">
        <v>153.30000000000001</v>
      </c>
      <c r="P55" s="1">
        <v>507.6</v>
      </c>
      <c r="Q55" s="1">
        <v>8.52</v>
      </c>
      <c r="R55" s="1">
        <v>127.6</v>
      </c>
      <c r="S55" s="1">
        <v>5.68</v>
      </c>
      <c r="T55" s="1">
        <v>22.92</v>
      </c>
      <c r="U55" s="1">
        <v>-70</v>
      </c>
      <c r="Y55" s="142" t="s">
        <v>662</v>
      </c>
      <c r="Z55" s="12" t="s">
        <v>507</v>
      </c>
      <c r="AA55" s="12">
        <v>0</v>
      </c>
      <c r="AB55" s="122">
        <f t="shared" si="9"/>
        <v>528.72215709261434</v>
      </c>
      <c r="AC55" s="122">
        <f t="shared" si="10"/>
        <v>528.72215709261434</v>
      </c>
      <c r="AD55" s="124">
        <f t="shared" si="3"/>
        <v>0</v>
      </c>
    </row>
    <row r="56" spans="1:30">
      <c r="A56" s="108">
        <v>-60</v>
      </c>
      <c r="B56" s="1">
        <v>3.7499999999999999E-2</v>
      </c>
      <c r="C56" s="108">
        <f t="shared" si="7"/>
        <v>5.4389250000000002</v>
      </c>
      <c r="D56" s="1">
        <v>1463.7</v>
      </c>
      <c r="E56" s="1">
        <f t="shared" si="8"/>
        <v>1.862891207153502</v>
      </c>
      <c r="F56" s="1">
        <v>0.53680000000000005</v>
      </c>
      <c r="G56" s="1">
        <v>133.27000000000001</v>
      </c>
      <c r="H56" s="1">
        <v>378.59</v>
      </c>
      <c r="I56" s="1">
        <v>0.72599999999999998</v>
      </c>
      <c r="J56" s="1">
        <v>1.877</v>
      </c>
      <c r="K56" s="1">
        <v>1.071</v>
      </c>
      <c r="L56" s="1">
        <v>0.56399999999999995</v>
      </c>
      <c r="M56" s="1">
        <v>1.23</v>
      </c>
      <c r="N56" s="1">
        <v>940</v>
      </c>
      <c r="O56" s="1">
        <v>156</v>
      </c>
      <c r="P56" s="1">
        <v>441.4</v>
      </c>
      <c r="Q56" s="1">
        <v>8.94</v>
      </c>
      <c r="R56" s="1">
        <v>122.6</v>
      </c>
      <c r="S56" s="1">
        <v>6.12</v>
      </c>
      <c r="T56" s="1">
        <v>21.24</v>
      </c>
      <c r="U56" s="1">
        <v>-60</v>
      </c>
      <c r="Y56" s="142" t="s">
        <v>662</v>
      </c>
      <c r="Z56" s="12" t="s">
        <v>508</v>
      </c>
      <c r="AA56" s="12">
        <v>1</v>
      </c>
      <c r="AB56" s="122">
        <f t="shared" si="9"/>
        <v>528.72215709261434</v>
      </c>
      <c r="AC56" s="122">
        <f t="shared" si="10"/>
        <v>528.72215709261434</v>
      </c>
      <c r="AD56" s="124">
        <f t="shared" si="3"/>
        <v>0</v>
      </c>
    </row>
    <row r="57" spans="1:30">
      <c r="A57" s="108">
        <v>-50</v>
      </c>
      <c r="B57" s="1">
        <v>6.4530000000000004E-2</v>
      </c>
      <c r="C57" s="108">
        <f t="shared" si="7"/>
        <v>9.3593021400000005</v>
      </c>
      <c r="D57" s="1">
        <v>1435.6</v>
      </c>
      <c r="E57" s="1">
        <f t="shared" si="8"/>
        <v>3.0878493129535278</v>
      </c>
      <c r="F57" s="1">
        <v>0.32385000000000003</v>
      </c>
      <c r="G57" s="1">
        <v>144.03</v>
      </c>
      <c r="H57" s="1">
        <v>383.42</v>
      </c>
      <c r="I57" s="1">
        <v>0.7752</v>
      </c>
      <c r="J57" s="1">
        <v>1.8480000000000001</v>
      </c>
      <c r="K57" s="1">
        <v>1.079</v>
      </c>
      <c r="L57" s="1">
        <v>0.58499999999999996</v>
      </c>
      <c r="M57" s="1">
        <v>1.232</v>
      </c>
      <c r="N57" s="1">
        <v>893</v>
      </c>
      <c r="O57" s="1">
        <v>158.30000000000001</v>
      </c>
      <c r="P57" s="1">
        <v>387.5</v>
      </c>
      <c r="Q57" s="1">
        <v>9.36</v>
      </c>
      <c r="R57" s="1">
        <v>117.8</v>
      </c>
      <c r="S57" s="1">
        <v>6.59</v>
      </c>
      <c r="T57" s="1">
        <v>19.579999999999998</v>
      </c>
      <c r="U57" s="1">
        <v>-50</v>
      </c>
      <c r="Y57" s="142" t="s">
        <v>662</v>
      </c>
      <c r="Z57" s="12" t="s">
        <v>509</v>
      </c>
      <c r="AA57" s="12">
        <v>3</v>
      </c>
      <c r="AB57" s="122">
        <f t="shared" si="9"/>
        <v>528.72215709261434</v>
      </c>
      <c r="AC57" s="122">
        <f t="shared" si="10"/>
        <v>528.72215709261434</v>
      </c>
      <c r="AD57" s="124">
        <f t="shared" si="3"/>
        <v>0</v>
      </c>
    </row>
    <row r="58" spans="1:30">
      <c r="A58" s="108">
        <v>-48</v>
      </c>
      <c r="B58" s="1">
        <v>7.145E-2</v>
      </c>
      <c r="C58" s="108">
        <f t="shared" si="7"/>
        <v>10.3629651</v>
      </c>
      <c r="D58" s="1">
        <v>1429.9</v>
      </c>
      <c r="E58" s="1">
        <f t="shared" si="8"/>
        <v>3.3952398736970766</v>
      </c>
      <c r="F58" s="1">
        <v>0.29453000000000001</v>
      </c>
      <c r="G58" s="1">
        <v>146.19</v>
      </c>
      <c r="H58" s="1">
        <v>384.37</v>
      </c>
      <c r="I58" s="1">
        <v>0.78490000000000004</v>
      </c>
      <c r="J58" s="1">
        <v>1.8428</v>
      </c>
      <c r="K58" s="1">
        <v>1.081</v>
      </c>
      <c r="L58" s="1">
        <v>0.58899999999999997</v>
      </c>
      <c r="M58" s="1">
        <v>1.2330000000000001</v>
      </c>
      <c r="N58" s="1">
        <v>884</v>
      </c>
      <c r="O58" s="1">
        <v>158.69999999999999</v>
      </c>
      <c r="P58" s="1">
        <v>377.8</v>
      </c>
      <c r="Q58" s="1">
        <v>9.4499999999999993</v>
      </c>
      <c r="R58" s="1">
        <v>116.9</v>
      </c>
      <c r="S58" s="1">
        <v>6.69</v>
      </c>
      <c r="T58" s="1">
        <v>19.25</v>
      </c>
      <c r="U58" s="1">
        <v>-48</v>
      </c>
      <c r="Y58" s="142" t="s">
        <v>662</v>
      </c>
      <c r="Z58" s="12" t="s">
        <v>510</v>
      </c>
      <c r="AA58" s="12">
        <v>2</v>
      </c>
      <c r="AB58" s="122">
        <f t="shared" si="9"/>
        <v>528.72215709261434</v>
      </c>
      <c r="AC58" s="122">
        <f t="shared" si="10"/>
        <v>528.72215709261434</v>
      </c>
      <c r="AD58" s="124">
        <f t="shared" si="3"/>
        <v>0</v>
      </c>
    </row>
    <row r="59" spans="1:30">
      <c r="A59" s="108">
        <v>-46</v>
      </c>
      <c r="B59" s="1">
        <v>7.8939999999999996E-2</v>
      </c>
      <c r="C59" s="108">
        <f t="shared" si="7"/>
        <v>11.449299720000001</v>
      </c>
      <c r="D59" s="1">
        <v>1424.2</v>
      </c>
      <c r="E59" s="1">
        <f t="shared" si="8"/>
        <v>3.7261989044975223</v>
      </c>
      <c r="F59" s="1">
        <v>0.26837</v>
      </c>
      <c r="G59" s="1">
        <v>148.36000000000001</v>
      </c>
      <c r="H59" s="1">
        <v>385.32</v>
      </c>
      <c r="I59" s="1">
        <v>0.7944</v>
      </c>
      <c r="J59" s="1">
        <v>1.8375999999999999</v>
      </c>
      <c r="K59" s="1">
        <v>1.083</v>
      </c>
      <c r="L59" s="1">
        <v>0.59399999999999997</v>
      </c>
      <c r="M59" s="1">
        <v>1.234</v>
      </c>
      <c r="N59" s="1">
        <v>875</v>
      </c>
      <c r="O59" s="1">
        <v>159.1</v>
      </c>
      <c r="P59" s="1">
        <v>368.6</v>
      </c>
      <c r="Q59" s="1">
        <v>9.5299999999999994</v>
      </c>
      <c r="R59" s="1">
        <v>115.9</v>
      </c>
      <c r="S59" s="1">
        <v>6.79</v>
      </c>
      <c r="T59" s="1">
        <v>18.920000000000002</v>
      </c>
      <c r="U59" s="1">
        <v>-46</v>
      </c>
      <c r="Y59" s="142" t="s">
        <v>663</v>
      </c>
      <c r="Z59" s="12" t="s">
        <v>504</v>
      </c>
      <c r="AA59" s="12">
        <v>-2</v>
      </c>
      <c r="AB59" s="122">
        <f>(890*0.8*3.28)/3.412</f>
        <v>684.45486518171151</v>
      </c>
      <c r="AC59" s="122">
        <f>(890*0.8*3.28)/3.412</f>
        <v>684.45486518171151</v>
      </c>
      <c r="AD59" s="124">
        <f t="shared" si="3"/>
        <v>0</v>
      </c>
    </row>
    <row r="60" spans="1:30">
      <c r="A60" s="108">
        <v>-44</v>
      </c>
      <c r="B60" s="1">
        <v>8.7050000000000002E-2</v>
      </c>
      <c r="C60" s="108">
        <f t="shared" si="7"/>
        <v>12.6255579</v>
      </c>
      <c r="D60" s="1">
        <v>1418.4</v>
      </c>
      <c r="E60" s="1">
        <f t="shared" si="8"/>
        <v>4.0819658747652872</v>
      </c>
      <c r="F60" s="1">
        <v>0.24498</v>
      </c>
      <c r="G60" s="1">
        <v>150.53</v>
      </c>
      <c r="H60" s="1">
        <v>386.26</v>
      </c>
      <c r="I60" s="1">
        <v>0.80389999999999995</v>
      </c>
      <c r="J60" s="1">
        <v>1.8327</v>
      </c>
      <c r="K60" s="1">
        <v>1.0860000000000001</v>
      </c>
      <c r="L60" s="1">
        <v>0.59899999999999998</v>
      </c>
      <c r="M60" s="1">
        <v>1.2350000000000001</v>
      </c>
      <c r="N60" s="1">
        <v>865</v>
      </c>
      <c r="O60" s="1">
        <v>159.5</v>
      </c>
      <c r="P60" s="1">
        <v>359.6</v>
      </c>
      <c r="Q60" s="1">
        <v>9.6199999999999992</v>
      </c>
      <c r="R60" s="1">
        <v>115</v>
      </c>
      <c r="S60" s="1">
        <v>6.89</v>
      </c>
      <c r="T60" s="1">
        <v>18.59</v>
      </c>
      <c r="U60" s="1">
        <v>-44</v>
      </c>
      <c r="Y60" s="142" t="s">
        <v>663</v>
      </c>
      <c r="Z60" s="12" t="s">
        <v>507</v>
      </c>
      <c r="AA60" s="12">
        <v>0</v>
      </c>
      <c r="AB60" s="122">
        <f>(890*0.8*3.28)/3.412</f>
        <v>684.45486518171151</v>
      </c>
      <c r="AC60" s="122">
        <f>(890*0.8*3.28)/3.412</f>
        <v>684.45486518171151</v>
      </c>
      <c r="AD60" s="124">
        <f t="shared" si="3"/>
        <v>0</v>
      </c>
    </row>
    <row r="61" spans="1:30">
      <c r="A61" s="108">
        <v>-42</v>
      </c>
      <c r="B61" s="1">
        <v>9.5799999999999996E-2</v>
      </c>
      <c r="C61" s="108">
        <f t="shared" si="7"/>
        <v>13.8946404</v>
      </c>
      <c r="D61" s="1">
        <v>1412.6</v>
      </c>
      <c r="E61" s="1">
        <f t="shared" si="8"/>
        <v>4.4638871529327737</v>
      </c>
      <c r="F61" s="1">
        <v>0.22402</v>
      </c>
      <c r="G61" s="1">
        <v>152.69999999999999</v>
      </c>
      <c r="H61" s="1">
        <v>387.2</v>
      </c>
      <c r="I61" s="1">
        <v>0.81340000000000001</v>
      </c>
      <c r="J61" s="1">
        <v>1.8278000000000001</v>
      </c>
      <c r="K61" s="1">
        <v>1.0880000000000001</v>
      </c>
      <c r="L61" s="1">
        <v>0.60299999999999998</v>
      </c>
      <c r="M61" s="1">
        <v>1.236</v>
      </c>
      <c r="N61" s="1">
        <v>856</v>
      </c>
      <c r="O61" s="1">
        <v>159.9</v>
      </c>
      <c r="P61" s="1">
        <v>351</v>
      </c>
      <c r="Q61" s="1">
        <v>9.6999999999999993</v>
      </c>
      <c r="R61" s="1">
        <v>114</v>
      </c>
      <c r="S61" s="1">
        <v>6.99</v>
      </c>
      <c r="T61" s="1">
        <v>18.27</v>
      </c>
      <c r="U61" s="1">
        <v>-42</v>
      </c>
      <c r="Y61" s="199" t="s">
        <v>664</v>
      </c>
      <c r="Z61" s="17" t="s">
        <v>504</v>
      </c>
      <c r="AA61" s="17">
        <v>-2</v>
      </c>
      <c r="AB61" s="127">
        <f>(550*3.28)/3.412</f>
        <v>528.72215709261434</v>
      </c>
      <c r="AC61" s="127">
        <f>(550*3.28)/3.412</f>
        <v>528.72215709261434</v>
      </c>
      <c r="AD61" s="128">
        <f t="shared" si="3"/>
        <v>0</v>
      </c>
    </row>
    <row r="62" spans="1:30">
      <c r="A62" s="108">
        <v>-40.81</v>
      </c>
      <c r="B62" s="1">
        <v>0.10131999999999999</v>
      </c>
      <c r="C62" s="108">
        <f t="shared" si="7"/>
        <v>14.695250160000001</v>
      </c>
      <c r="D62" s="1">
        <v>1409.2</v>
      </c>
      <c r="E62" s="1">
        <f t="shared" si="8"/>
        <v>4.7036688617121349</v>
      </c>
      <c r="F62" s="1">
        <v>0.21260000000000001</v>
      </c>
      <c r="G62" s="1">
        <v>154</v>
      </c>
      <c r="H62" s="1">
        <v>387.75</v>
      </c>
      <c r="I62" s="1">
        <v>0.81889999999999996</v>
      </c>
      <c r="J62" s="1">
        <v>1.825</v>
      </c>
      <c r="K62" s="1">
        <v>1.0900000000000001</v>
      </c>
      <c r="L62" s="1">
        <v>0.60599999999999998</v>
      </c>
      <c r="M62" s="1">
        <v>1.236</v>
      </c>
      <c r="N62" s="1">
        <v>851</v>
      </c>
      <c r="O62" s="1">
        <v>160.1</v>
      </c>
      <c r="P62" s="1">
        <v>346</v>
      </c>
      <c r="Q62" s="1">
        <v>9.75</v>
      </c>
      <c r="R62" s="1">
        <v>113.5</v>
      </c>
      <c r="S62" s="1">
        <v>7.05</v>
      </c>
      <c r="T62" s="1">
        <v>18.079999999999998</v>
      </c>
      <c r="U62" s="1" t="s">
        <v>527</v>
      </c>
    </row>
    <row r="63" spans="1:30">
      <c r="A63" s="108">
        <v>-40</v>
      </c>
      <c r="B63" s="1">
        <v>0.10523</v>
      </c>
      <c r="C63" s="108">
        <f t="shared" si="7"/>
        <v>15.262348740000002</v>
      </c>
      <c r="D63" s="1">
        <v>1406.8</v>
      </c>
      <c r="E63" s="1">
        <f t="shared" si="8"/>
        <v>4.8730568685736566</v>
      </c>
      <c r="F63" s="1">
        <v>0.20521</v>
      </c>
      <c r="G63" s="1">
        <v>154.88999999999999</v>
      </c>
      <c r="H63" s="1">
        <v>388.13</v>
      </c>
      <c r="I63" s="1">
        <v>0.82269999999999999</v>
      </c>
      <c r="J63" s="1">
        <v>1.8230999999999999</v>
      </c>
      <c r="K63" s="1">
        <v>1.091</v>
      </c>
      <c r="L63" s="1">
        <v>0.60799999999999998</v>
      </c>
      <c r="M63" s="1">
        <v>1.2370000000000001</v>
      </c>
      <c r="N63" s="1">
        <v>847</v>
      </c>
      <c r="O63" s="1">
        <v>160.30000000000001</v>
      </c>
      <c r="P63" s="1">
        <v>342.6</v>
      </c>
      <c r="Q63" s="1">
        <v>9.7899999999999991</v>
      </c>
      <c r="R63" s="1">
        <v>113.1</v>
      </c>
      <c r="S63" s="1">
        <v>7.09</v>
      </c>
      <c r="T63" s="1">
        <v>17.940000000000001</v>
      </c>
      <c r="U63" s="1">
        <v>-40</v>
      </c>
    </row>
    <row r="64" spans="1:30">
      <c r="A64" s="108">
        <v>-38</v>
      </c>
      <c r="B64" s="1">
        <v>0.11538</v>
      </c>
      <c r="C64" s="108">
        <f t="shared" si="7"/>
        <v>16.734484439999999</v>
      </c>
      <c r="D64" s="1">
        <v>1401</v>
      </c>
      <c r="E64" s="1">
        <f t="shared" si="8"/>
        <v>5.3109565032662376</v>
      </c>
      <c r="F64" s="1">
        <v>0.18829000000000001</v>
      </c>
      <c r="G64" s="1">
        <v>157.07</v>
      </c>
      <c r="H64" s="1">
        <v>389.06</v>
      </c>
      <c r="I64" s="1">
        <v>0.83199999999999996</v>
      </c>
      <c r="J64" s="1">
        <v>1.8186</v>
      </c>
      <c r="K64" s="1">
        <v>1.093</v>
      </c>
      <c r="L64" s="1">
        <v>0.61299999999999999</v>
      </c>
      <c r="M64" s="1">
        <v>1.238</v>
      </c>
      <c r="N64" s="1">
        <v>838</v>
      </c>
      <c r="O64" s="1">
        <v>160.6</v>
      </c>
      <c r="P64" s="1">
        <v>334.5</v>
      </c>
      <c r="Q64" s="1">
        <v>9.8699999999999992</v>
      </c>
      <c r="R64" s="1">
        <v>112.2</v>
      </c>
      <c r="S64" s="1">
        <v>7.19</v>
      </c>
      <c r="T64" s="1">
        <v>17.62</v>
      </c>
      <c r="U64" s="1">
        <v>-38</v>
      </c>
    </row>
    <row r="65" spans="1:21">
      <c r="A65" s="108">
        <v>-36</v>
      </c>
      <c r="B65" s="1">
        <v>0.12628</v>
      </c>
      <c r="C65" s="108">
        <f t="shared" si="7"/>
        <v>18.315398640000002</v>
      </c>
      <c r="D65" s="1">
        <v>1395.1</v>
      </c>
      <c r="E65" s="1">
        <f t="shared" si="8"/>
        <v>5.7790106333795652</v>
      </c>
      <c r="F65" s="1">
        <v>0.17304</v>
      </c>
      <c r="G65" s="1">
        <v>159.27000000000001</v>
      </c>
      <c r="H65" s="1">
        <v>389.97</v>
      </c>
      <c r="I65" s="1">
        <v>0.84130000000000005</v>
      </c>
      <c r="J65" s="1">
        <v>1.8141</v>
      </c>
      <c r="K65" s="1">
        <v>1.0960000000000001</v>
      </c>
      <c r="L65" s="1">
        <v>0.61899999999999999</v>
      </c>
      <c r="M65" s="1">
        <v>1.2390000000000001</v>
      </c>
      <c r="N65" s="1">
        <v>828</v>
      </c>
      <c r="O65" s="1">
        <v>160.9</v>
      </c>
      <c r="P65" s="1">
        <v>326.7</v>
      </c>
      <c r="Q65" s="1">
        <v>9.9600000000000009</v>
      </c>
      <c r="R65" s="1">
        <v>111.2</v>
      </c>
      <c r="S65" s="1">
        <v>7.29</v>
      </c>
      <c r="T65" s="1">
        <v>17.3</v>
      </c>
      <c r="U65" s="1">
        <v>-36</v>
      </c>
    </row>
    <row r="66" spans="1:21">
      <c r="A66" s="108">
        <v>-34</v>
      </c>
      <c r="B66" s="1">
        <v>0.13797000000000001</v>
      </c>
      <c r="C66" s="108">
        <f t="shared" si="7"/>
        <v>20.010892860000002</v>
      </c>
      <c r="D66" s="1">
        <v>1389.1</v>
      </c>
      <c r="E66" s="1">
        <f t="shared" si="8"/>
        <v>6.2786463238525778</v>
      </c>
      <c r="F66" s="1">
        <v>0.15926999999999999</v>
      </c>
      <c r="G66" s="1">
        <v>161.47</v>
      </c>
      <c r="H66" s="1">
        <v>390.89</v>
      </c>
      <c r="I66" s="1">
        <v>0.85050000000000003</v>
      </c>
      <c r="J66" s="1">
        <v>1.8098000000000001</v>
      </c>
      <c r="K66" s="1">
        <v>1.099</v>
      </c>
      <c r="L66" s="1">
        <v>0.624</v>
      </c>
      <c r="M66" s="1">
        <v>1.2410000000000001</v>
      </c>
      <c r="N66" s="1">
        <v>819</v>
      </c>
      <c r="O66" s="1">
        <v>161.19999999999999</v>
      </c>
      <c r="P66" s="1">
        <v>319.10000000000002</v>
      </c>
      <c r="Q66" s="1">
        <v>10.039999999999999</v>
      </c>
      <c r="R66" s="1">
        <v>110.3</v>
      </c>
      <c r="S66" s="1">
        <v>7.4</v>
      </c>
      <c r="T66" s="1">
        <v>16.98</v>
      </c>
      <c r="U66" s="1">
        <v>-34</v>
      </c>
    </row>
    <row r="67" spans="1:21">
      <c r="A67" s="108">
        <v>-32</v>
      </c>
      <c r="B67" s="1">
        <v>0.15049999999999999</v>
      </c>
      <c r="C67" s="108">
        <f t="shared" si="7"/>
        <v>21.828219000000001</v>
      </c>
      <c r="D67" s="1">
        <v>1383.2</v>
      </c>
      <c r="E67" s="1">
        <f t="shared" si="8"/>
        <v>6.8110611633292466</v>
      </c>
      <c r="F67" s="1">
        <v>0.14682000000000001</v>
      </c>
      <c r="G67" s="1">
        <v>163.66999999999999</v>
      </c>
      <c r="H67" s="1">
        <v>391.79</v>
      </c>
      <c r="I67" s="1">
        <v>0.85960000000000003</v>
      </c>
      <c r="J67" s="1">
        <v>1.8056000000000001</v>
      </c>
      <c r="K67" s="1">
        <v>1.1020000000000001</v>
      </c>
      <c r="L67" s="1">
        <v>0.629</v>
      </c>
      <c r="M67" s="1">
        <v>1.242</v>
      </c>
      <c r="N67" s="1">
        <v>810</v>
      </c>
      <c r="O67" s="1">
        <v>161.5</v>
      </c>
      <c r="P67" s="1">
        <v>311.7</v>
      </c>
      <c r="Q67" s="1">
        <v>10.119999999999999</v>
      </c>
      <c r="R67" s="1">
        <v>109.4</v>
      </c>
      <c r="S67" s="1">
        <v>7.51</v>
      </c>
      <c r="T67" s="1">
        <v>16.66</v>
      </c>
      <c r="U67" s="1">
        <v>-32</v>
      </c>
    </row>
    <row r="68" spans="1:21">
      <c r="A68" s="108">
        <v>-30</v>
      </c>
      <c r="B68" s="1">
        <v>0.16389000000000001</v>
      </c>
      <c r="C68" s="108">
        <f t="shared" si="7"/>
        <v>23.770277820000004</v>
      </c>
      <c r="D68" s="1">
        <v>1377.2</v>
      </c>
      <c r="E68" s="1">
        <f t="shared" si="8"/>
        <v>7.3784401977421963</v>
      </c>
      <c r="F68" s="1">
        <v>0.13553000000000001</v>
      </c>
      <c r="G68" s="1">
        <v>165.88</v>
      </c>
      <c r="H68" s="1">
        <v>392.69</v>
      </c>
      <c r="I68" s="1">
        <v>0.86870000000000003</v>
      </c>
      <c r="J68" s="1">
        <v>1.8015000000000001</v>
      </c>
      <c r="K68" s="1">
        <v>1.105</v>
      </c>
      <c r="L68" s="1">
        <v>0.63500000000000001</v>
      </c>
      <c r="M68" s="1">
        <v>1.244</v>
      </c>
      <c r="N68" s="1">
        <v>800</v>
      </c>
      <c r="O68" s="1">
        <v>161.80000000000001</v>
      </c>
      <c r="P68" s="1">
        <v>304.60000000000002</v>
      </c>
      <c r="Q68" s="1">
        <v>10.210000000000001</v>
      </c>
      <c r="R68" s="1">
        <v>108.5</v>
      </c>
      <c r="S68" s="1">
        <v>7.61</v>
      </c>
      <c r="T68" s="1">
        <v>16.34</v>
      </c>
      <c r="U68" s="1">
        <v>-30</v>
      </c>
    </row>
    <row r="69" spans="1:21">
      <c r="A69" s="108">
        <v>-28</v>
      </c>
      <c r="B69" s="1">
        <v>0.17818999999999999</v>
      </c>
      <c r="C69" s="108">
        <f t="shared" si="7"/>
        <v>25.844321220000001</v>
      </c>
      <c r="D69" s="1">
        <v>1371.1</v>
      </c>
      <c r="E69" s="1">
        <f t="shared" si="8"/>
        <v>7.9821200510855679</v>
      </c>
      <c r="F69" s="1">
        <v>0.12528</v>
      </c>
      <c r="G69" s="1">
        <v>168.1</v>
      </c>
      <c r="H69" s="1">
        <v>393.58</v>
      </c>
      <c r="I69" s="1">
        <v>0.87780000000000002</v>
      </c>
      <c r="J69" s="1">
        <v>1.7975000000000001</v>
      </c>
      <c r="K69" s="1">
        <v>1.1080000000000001</v>
      </c>
      <c r="L69" s="1">
        <v>0.64100000000000001</v>
      </c>
      <c r="M69" s="1">
        <v>1.246</v>
      </c>
      <c r="N69" s="1">
        <v>791</v>
      </c>
      <c r="O69" s="1">
        <v>162</v>
      </c>
      <c r="P69" s="1">
        <v>297.7</v>
      </c>
      <c r="Q69" s="1">
        <v>10.29</v>
      </c>
      <c r="R69" s="1">
        <v>107.5</v>
      </c>
      <c r="S69" s="1">
        <v>7.72</v>
      </c>
      <c r="T69" s="1">
        <v>16.02</v>
      </c>
      <c r="U69" s="1">
        <v>-28</v>
      </c>
    </row>
    <row r="70" spans="1:21">
      <c r="A70" s="108">
        <v>-26</v>
      </c>
      <c r="B70" s="1">
        <v>0.19344</v>
      </c>
      <c r="C70" s="108">
        <f t="shared" si="7"/>
        <v>28.056150720000002</v>
      </c>
      <c r="D70" s="1">
        <v>1365</v>
      </c>
      <c r="E70" s="1">
        <f t="shared" si="8"/>
        <v>8.6229197206174</v>
      </c>
      <c r="F70" s="1">
        <v>0.11597</v>
      </c>
      <c r="G70" s="1">
        <v>170.33</v>
      </c>
      <c r="H70" s="1">
        <v>394.47</v>
      </c>
      <c r="I70" s="1">
        <v>0.88680000000000003</v>
      </c>
      <c r="J70" s="1">
        <v>1.7937000000000001</v>
      </c>
      <c r="K70" s="1">
        <v>1.1120000000000001</v>
      </c>
      <c r="L70" s="1">
        <v>0.64600000000000002</v>
      </c>
      <c r="M70" s="1">
        <v>1.248</v>
      </c>
      <c r="N70" s="1">
        <v>782</v>
      </c>
      <c r="O70" s="1">
        <v>162.30000000000001</v>
      </c>
      <c r="P70" s="1">
        <v>291</v>
      </c>
      <c r="Q70" s="1">
        <v>10.38</v>
      </c>
      <c r="R70" s="1">
        <v>106.6</v>
      </c>
      <c r="S70" s="1">
        <v>7.83</v>
      </c>
      <c r="T70" s="1">
        <v>15.7</v>
      </c>
      <c r="U70" s="1">
        <v>-26</v>
      </c>
    </row>
    <row r="71" spans="1:21">
      <c r="A71" s="108">
        <v>-24</v>
      </c>
      <c r="B71" s="1">
        <v>0.20968000000000001</v>
      </c>
      <c r="C71" s="108">
        <f t="shared" si="7"/>
        <v>30.411567840000004</v>
      </c>
      <c r="D71" s="1">
        <v>1358.9</v>
      </c>
      <c r="E71" s="1">
        <f t="shared" si="8"/>
        <v>9.3031909945111178</v>
      </c>
      <c r="F71" s="1">
        <v>0.10749</v>
      </c>
      <c r="G71" s="1">
        <v>172.56</v>
      </c>
      <c r="H71" s="1">
        <v>395.34</v>
      </c>
      <c r="I71" s="1">
        <v>0.89570000000000005</v>
      </c>
      <c r="J71" s="1">
        <v>1.7899</v>
      </c>
      <c r="K71" s="1">
        <v>1.115</v>
      </c>
      <c r="L71" s="1">
        <v>0.65300000000000002</v>
      </c>
      <c r="M71" s="1">
        <v>1.25</v>
      </c>
      <c r="N71" s="1">
        <v>772</v>
      </c>
      <c r="O71" s="1">
        <v>162.5</v>
      </c>
      <c r="P71" s="1">
        <v>284.39999999999998</v>
      </c>
      <c r="Q71" s="1">
        <v>10.46</v>
      </c>
      <c r="R71" s="1">
        <v>105.7</v>
      </c>
      <c r="S71" s="1">
        <v>7.94</v>
      </c>
      <c r="T71" s="1">
        <v>15.39</v>
      </c>
      <c r="U71" s="1">
        <v>-24</v>
      </c>
    </row>
    <row r="72" spans="1:21">
      <c r="A72" s="108">
        <v>-22</v>
      </c>
      <c r="B72" s="1">
        <v>0.22696</v>
      </c>
      <c r="C72" s="108">
        <f t="shared" si="7"/>
        <v>32.91782448</v>
      </c>
      <c r="D72" s="1">
        <v>1352.7</v>
      </c>
      <c r="E72" s="1">
        <f t="shared" si="8"/>
        <v>10.025062656641603</v>
      </c>
      <c r="F72" s="1">
        <v>9.9750000000000005E-2</v>
      </c>
      <c r="G72" s="1">
        <v>174.8</v>
      </c>
      <c r="H72" s="1">
        <v>396.21</v>
      </c>
      <c r="I72" s="1">
        <v>0.90459999999999996</v>
      </c>
      <c r="J72" s="1">
        <v>1.7862</v>
      </c>
      <c r="K72" s="1">
        <v>1.119</v>
      </c>
      <c r="L72" s="1">
        <v>0.65900000000000003</v>
      </c>
      <c r="M72" s="1">
        <v>1.2529999999999999</v>
      </c>
      <c r="N72" s="1">
        <v>763</v>
      </c>
      <c r="O72" s="1">
        <v>162.69999999999999</v>
      </c>
      <c r="P72" s="1">
        <v>278.10000000000002</v>
      </c>
      <c r="Q72" s="1">
        <v>10.55</v>
      </c>
      <c r="R72" s="1">
        <v>104.8</v>
      </c>
      <c r="S72" s="1">
        <v>8.06</v>
      </c>
      <c r="T72" s="1">
        <v>15.07</v>
      </c>
      <c r="U72" s="1">
        <v>-22</v>
      </c>
    </row>
    <row r="73" spans="1:21">
      <c r="A73" s="108">
        <v>-20</v>
      </c>
      <c r="B73" s="1">
        <v>0.24531</v>
      </c>
      <c r="C73" s="108">
        <f t="shared" si="7"/>
        <v>35.579271780000006</v>
      </c>
      <c r="D73" s="1">
        <v>1346.5</v>
      </c>
      <c r="E73" s="1">
        <f t="shared" si="8"/>
        <v>10.789814415192058</v>
      </c>
      <c r="F73" s="1">
        <v>9.2679999999999998E-2</v>
      </c>
      <c r="G73" s="1">
        <v>177.04</v>
      </c>
      <c r="H73" s="1">
        <v>397.06</v>
      </c>
      <c r="I73" s="1">
        <v>0.91349999999999998</v>
      </c>
      <c r="J73" s="1">
        <v>1.7826</v>
      </c>
      <c r="K73" s="1">
        <v>1.123</v>
      </c>
      <c r="L73" s="1">
        <v>0.66500000000000004</v>
      </c>
      <c r="M73" s="1">
        <v>1.2549999999999999</v>
      </c>
      <c r="N73" s="1">
        <v>754</v>
      </c>
      <c r="O73" s="1">
        <v>162.80000000000001</v>
      </c>
      <c r="P73" s="1">
        <v>271.89999999999998</v>
      </c>
      <c r="Q73" s="1">
        <v>10.63</v>
      </c>
      <c r="R73" s="1">
        <v>103.9</v>
      </c>
      <c r="S73" s="1">
        <v>8.17</v>
      </c>
      <c r="T73" s="1">
        <v>14.76</v>
      </c>
      <c r="U73" s="1">
        <v>-20</v>
      </c>
    </row>
    <row r="74" spans="1:21">
      <c r="A74" s="108">
        <v>-18</v>
      </c>
      <c r="B74" s="1">
        <v>0.26479000000000003</v>
      </c>
      <c r="C74" s="108">
        <f t="shared" si="7"/>
        <v>38.404612020000009</v>
      </c>
      <c r="D74" s="1">
        <v>1340.3</v>
      </c>
      <c r="E74" s="1">
        <f t="shared" si="8"/>
        <v>11.59958241503306</v>
      </c>
      <c r="F74" s="1">
        <v>8.6209999999999995E-2</v>
      </c>
      <c r="G74" s="1">
        <v>179.3</v>
      </c>
      <c r="H74" s="1">
        <v>397.91</v>
      </c>
      <c r="I74" s="1">
        <v>0.92230000000000001</v>
      </c>
      <c r="J74" s="1">
        <v>1.7790999999999999</v>
      </c>
      <c r="K74" s="1">
        <v>1.127</v>
      </c>
      <c r="L74" s="1">
        <v>0.67200000000000004</v>
      </c>
      <c r="M74" s="1">
        <v>1.258</v>
      </c>
      <c r="N74" s="1">
        <v>744</v>
      </c>
      <c r="O74" s="1">
        <v>163</v>
      </c>
      <c r="P74" s="1">
        <v>265.89999999999998</v>
      </c>
      <c r="Q74" s="1">
        <v>10.72</v>
      </c>
      <c r="R74" s="1">
        <v>103</v>
      </c>
      <c r="S74" s="1">
        <v>8.2899999999999991</v>
      </c>
      <c r="T74" s="1">
        <v>14.45</v>
      </c>
      <c r="U74" s="1">
        <v>-18</v>
      </c>
    </row>
    <row r="75" spans="1:21">
      <c r="A75" s="108">
        <v>-16</v>
      </c>
      <c r="B75" s="1">
        <v>0.28543000000000002</v>
      </c>
      <c r="C75" s="108">
        <f t="shared" si="7"/>
        <v>41.398196340000005</v>
      </c>
      <c r="D75" s="1">
        <v>1334</v>
      </c>
      <c r="E75" s="1">
        <f t="shared" si="8"/>
        <v>12.454851164528584</v>
      </c>
      <c r="F75" s="1">
        <v>8.029E-2</v>
      </c>
      <c r="G75" s="1">
        <v>181.56</v>
      </c>
      <c r="H75" s="1">
        <v>398.75</v>
      </c>
      <c r="I75" s="1">
        <v>0.93110000000000004</v>
      </c>
      <c r="J75" s="1">
        <v>1.7757000000000001</v>
      </c>
      <c r="K75" s="1">
        <v>1.131</v>
      </c>
      <c r="L75" s="1">
        <v>0.67800000000000005</v>
      </c>
      <c r="M75" s="1">
        <v>1.2609999999999999</v>
      </c>
      <c r="N75" s="1">
        <v>735</v>
      </c>
      <c r="O75" s="1">
        <v>163.1</v>
      </c>
      <c r="P75" s="1">
        <v>260.10000000000002</v>
      </c>
      <c r="Q75" s="1">
        <v>10.8</v>
      </c>
      <c r="R75" s="1">
        <v>102.1</v>
      </c>
      <c r="S75" s="1">
        <v>8.4</v>
      </c>
      <c r="T75" s="1">
        <v>14.14</v>
      </c>
      <c r="U75" s="1">
        <v>-16</v>
      </c>
    </row>
    <row r="76" spans="1:21">
      <c r="A76" s="108">
        <v>-14</v>
      </c>
      <c r="B76" s="1">
        <v>0.30728</v>
      </c>
      <c r="C76" s="108">
        <f t="shared" si="7"/>
        <v>44.567276640000003</v>
      </c>
      <c r="D76" s="1">
        <v>1327.6</v>
      </c>
      <c r="E76" s="1">
        <f t="shared" si="8"/>
        <v>13.360053440213761</v>
      </c>
      <c r="F76" s="1">
        <v>7.485E-2</v>
      </c>
      <c r="G76" s="1">
        <v>183.83</v>
      </c>
      <c r="H76" s="1">
        <v>399.57</v>
      </c>
      <c r="I76" s="1">
        <v>0.93979999999999997</v>
      </c>
      <c r="J76" s="1">
        <v>1.7723</v>
      </c>
      <c r="K76" s="1">
        <v>1.135</v>
      </c>
      <c r="L76" s="1">
        <v>0.68500000000000005</v>
      </c>
      <c r="M76" s="1">
        <v>1.264</v>
      </c>
      <c r="N76" s="1">
        <v>726</v>
      </c>
      <c r="O76" s="1">
        <v>163.19999999999999</v>
      </c>
      <c r="P76" s="1">
        <v>254.4</v>
      </c>
      <c r="Q76" s="1">
        <v>10.89</v>
      </c>
      <c r="R76" s="1">
        <v>101.1</v>
      </c>
      <c r="S76" s="1">
        <v>8.52</v>
      </c>
      <c r="T76" s="1">
        <v>13.83</v>
      </c>
      <c r="U76" s="1">
        <v>-14</v>
      </c>
    </row>
    <row r="77" spans="1:21">
      <c r="A77" s="108">
        <v>-12</v>
      </c>
      <c r="B77" s="1">
        <v>0.33038000000000001</v>
      </c>
      <c r="C77" s="108">
        <f t="shared" si="7"/>
        <v>47.917654440000007</v>
      </c>
      <c r="D77" s="1">
        <v>1321.2</v>
      </c>
      <c r="E77" s="1">
        <f t="shared" si="8"/>
        <v>14.314342971657601</v>
      </c>
      <c r="F77" s="1">
        <v>6.9860000000000005E-2</v>
      </c>
      <c r="G77" s="1">
        <v>186.11</v>
      </c>
      <c r="H77" s="1">
        <v>400.39</v>
      </c>
      <c r="I77" s="1">
        <v>0.94850000000000001</v>
      </c>
      <c r="J77" s="1">
        <v>1.7689999999999999</v>
      </c>
      <c r="K77" s="1">
        <v>1.139</v>
      </c>
      <c r="L77" s="1">
        <v>0.69199999999999995</v>
      </c>
      <c r="M77" s="1">
        <v>1.2669999999999999</v>
      </c>
      <c r="N77" s="1">
        <v>716</v>
      </c>
      <c r="O77" s="1">
        <v>163.30000000000001</v>
      </c>
      <c r="P77" s="1">
        <v>248.8</v>
      </c>
      <c r="Q77" s="1">
        <v>10.98</v>
      </c>
      <c r="R77" s="1">
        <v>100.2</v>
      </c>
      <c r="S77" s="1">
        <v>8.65</v>
      </c>
      <c r="T77" s="1">
        <v>13.52</v>
      </c>
      <c r="U77" s="1">
        <v>-12</v>
      </c>
    </row>
    <row r="78" spans="1:21">
      <c r="A78" s="108">
        <v>-10</v>
      </c>
      <c r="B78" s="1">
        <v>0.35478999999999999</v>
      </c>
      <c r="C78" s="108">
        <f t="shared" si="7"/>
        <v>51.458032020000005</v>
      </c>
      <c r="D78" s="1">
        <v>1314.7</v>
      </c>
      <c r="E78" s="1">
        <f t="shared" si="8"/>
        <v>15.32097441397273</v>
      </c>
      <c r="F78" s="1">
        <v>6.5269999999999995E-2</v>
      </c>
      <c r="G78" s="1">
        <v>188.4</v>
      </c>
      <c r="H78" s="1">
        <v>401.2</v>
      </c>
      <c r="I78" s="1">
        <v>0.95720000000000005</v>
      </c>
      <c r="J78" s="1">
        <v>1.7658</v>
      </c>
      <c r="K78" s="1">
        <v>1.1439999999999999</v>
      </c>
      <c r="L78" s="1">
        <v>0.69899999999999995</v>
      </c>
      <c r="M78" s="1">
        <v>1.27</v>
      </c>
      <c r="N78" s="1">
        <v>707</v>
      </c>
      <c r="O78" s="1">
        <v>163.30000000000001</v>
      </c>
      <c r="P78" s="1">
        <v>243.4</v>
      </c>
      <c r="Q78" s="1">
        <v>11.06</v>
      </c>
      <c r="R78" s="1">
        <v>99.3</v>
      </c>
      <c r="S78" s="1">
        <v>8.77</v>
      </c>
      <c r="T78" s="1">
        <v>13.21</v>
      </c>
      <c r="U78" s="1">
        <v>-10</v>
      </c>
    </row>
    <row r="79" spans="1:21">
      <c r="A79" s="108">
        <v>-8</v>
      </c>
      <c r="B79" s="1">
        <v>0.38053999999999999</v>
      </c>
      <c r="C79" s="108">
        <f t="shared" si="7"/>
        <v>55.19276052</v>
      </c>
      <c r="D79" s="1">
        <v>1308.2</v>
      </c>
      <c r="E79" s="1">
        <f t="shared" si="8"/>
        <v>16.385384237260364</v>
      </c>
      <c r="F79" s="1">
        <v>6.1030000000000001E-2</v>
      </c>
      <c r="G79" s="1">
        <v>190.7</v>
      </c>
      <c r="H79" s="1">
        <v>401.99</v>
      </c>
      <c r="I79" s="1">
        <v>0.96579999999999999</v>
      </c>
      <c r="J79" s="1">
        <v>1.7626999999999999</v>
      </c>
      <c r="K79" s="1">
        <v>1.149</v>
      </c>
      <c r="L79" s="1">
        <v>0.70699999999999996</v>
      </c>
      <c r="M79" s="1">
        <v>1.274</v>
      </c>
      <c r="N79" s="1">
        <v>697</v>
      </c>
      <c r="O79" s="1">
        <v>163.4</v>
      </c>
      <c r="P79" s="1">
        <v>238.1</v>
      </c>
      <c r="Q79" s="1">
        <v>11.15</v>
      </c>
      <c r="R79" s="1">
        <v>98.4</v>
      </c>
      <c r="S79" s="1">
        <v>8.89</v>
      </c>
      <c r="T79" s="1">
        <v>12.91</v>
      </c>
      <c r="U79" s="1">
        <v>-8</v>
      </c>
    </row>
    <row r="80" spans="1:21">
      <c r="A80" s="108">
        <v>-6</v>
      </c>
      <c r="B80" s="1">
        <v>0.40769</v>
      </c>
      <c r="C80" s="108">
        <f t="shared" si="7"/>
        <v>59.130542220000002</v>
      </c>
      <c r="D80" s="1">
        <v>1301.5999999999999</v>
      </c>
      <c r="E80" s="1">
        <f t="shared" si="8"/>
        <v>17.50393838613688</v>
      </c>
      <c r="F80" s="1">
        <v>5.713E-2</v>
      </c>
      <c r="G80" s="1">
        <v>193.01</v>
      </c>
      <c r="H80" s="1">
        <v>402.77</v>
      </c>
      <c r="I80" s="1">
        <v>0.97440000000000004</v>
      </c>
      <c r="J80" s="1">
        <v>1.7596000000000001</v>
      </c>
      <c r="K80" s="1">
        <v>1.1539999999999999</v>
      </c>
      <c r="L80" s="1">
        <v>0.71499999999999997</v>
      </c>
      <c r="M80" s="1">
        <v>1.278</v>
      </c>
      <c r="N80" s="1">
        <v>688</v>
      </c>
      <c r="O80" s="1">
        <v>163.4</v>
      </c>
      <c r="P80" s="1">
        <v>233</v>
      </c>
      <c r="Q80" s="1">
        <v>11.24</v>
      </c>
      <c r="R80" s="1">
        <v>97.5</v>
      </c>
      <c r="S80" s="1">
        <v>9.02</v>
      </c>
      <c r="T80" s="1">
        <v>12.6</v>
      </c>
      <c r="U80" s="1">
        <v>-6</v>
      </c>
    </row>
    <row r="81" spans="1:21">
      <c r="A81" s="108">
        <v>-4</v>
      </c>
      <c r="B81" s="1">
        <v>0.43628</v>
      </c>
      <c r="C81" s="108">
        <f t="shared" si="7"/>
        <v>63.277178640000002</v>
      </c>
      <c r="D81" s="1">
        <v>1295</v>
      </c>
      <c r="E81" s="1">
        <f t="shared" si="8"/>
        <v>18.68460388639761</v>
      </c>
      <c r="F81" s="1">
        <v>5.3519999999999998E-2</v>
      </c>
      <c r="G81" s="1">
        <v>195.33</v>
      </c>
      <c r="H81" s="1">
        <v>403.55</v>
      </c>
      <c r="I81" s="1">
        <v>0.98299999999999998</v>
      </c>
      <c r="J81" s="1">
        <v>1.7565999999999999</v>
      </c>
      <c r="K81" s="1">
        <v>1.159</v>
      </c>
      <c r="L81" s="1">
        <v>0.72199999999999998</v>
      </c>
      <c r="M81" s="1">
        <v>1.282</v>
      </c>
      <c r="N81" s="1">
        <v>679</v>
      </c>
      <c r="O81" s="1">
        <v>163.4</v>
      </c>
      <c r="P81" s="1">
        <v>227.9</v>
      </c>
      <c r="Q81" s="1">
        <v>11.32</v>
      </c>
      <c r="R81" s="1">
        <v>96.6</v>
      </c>
      <c r="S81" s="1">
        <v>9.15</v>
      </c>
      <c r="T81" s="1">
        <v>12.3</v>
      </c>
      <c r="U81" s="1">
        <v>-4</v>
      </c>
    </row>
    <row r="82" spans="1:21">
      <c r="A82" s="108">
        <v>-2</v>
      </c>
      <c r="B82" s="1">
        <v>0.46636</v>
      </c>
      <c r="C82" s="108">
        <f t="shared" si="7"/>
        <v>67.63992168</v>
      </c>
      <c r="D82" s="1">
        <v>1288.3</v>
      </c>
      <c r="E82" s="1">
        <f t="shared" si="8"/>
        <v>19.924287706714484</v>
      </c>
      <c r="F82" s="1">
        <v>5.0189999999999999E-2</v>
      </c>
      <c r="G82" s="1">
        <v>197.66</v>
      </c>
      <c r="H82" s="1">
        <v>404.3</v>
      </c>
      <c r="I82" s="1">
        <v>0.99150000000000005</v>
      </c>
      <c r="J82" s="1">
        <v>1.7536</v>
      </c>
      <c r="K82" s="1">
        <v>1.1639999999999999</v>
      </c>
      <c r="L82" s="1">
        <v>0.73099999999999998</v>
      </c>
      <c r="M82" s="1">
        <v>1.2869999999999999</v>
      </c>
      <c r="N82" s="1">
        <v>669</v>
      </c>
      <c r="O82" s="1">
        <v>163.4</v>
      </c>
      <c r="P82" s="1">
        <v>223</v>
      </c>
      <c r="Q82" s="1">
        <v>11.41</v>
      </c>
      <c r="R82" s="1">
        <v>95.7</v>
      </c>
      <c r="S82" s="1">
        <v>9.2799999999999994</v>
      </c>
      <c r="T82" s="1">
        <v>12</v>
      </c>
      <c r="U82" s="1">
        <v>-2</v>
      </c>
    </row>
    <row r="83" spans="1:21">
      <c r="A83" s="108">
        <v>0</v>
      </c>
      <c r="B83" s="1">
        <v>0.49798999999999999</v>
      </c>
      <c r="C83" s="108">
        <f t="shared" si="7"/>
        <v>72.227473619999998</v>
      </c>
      <c r="D83" s="1">
        <v>1281.5</v>
      </c>
      <c r="E83" s="1">
        <f t="shared" si="8"/>
        <v>21.231422505307854</v>
      </c>
      <c r="F83" s="1">
        <v>4.7100000000000003E-2</v>
      </c>
      <c r="G83" s="1">
        <v>200</v>
      </c>
      <c r="H83" s="1">
        <v>405.05</v>
      </c>
      <c r="I83" s="1">
        <v>1</v>
      </c>
      <c r="J83" s="1">
        <v>1.7506999999999999</v>
      </c>
      <c r="K83" s="1">
        <v>1.169</v>
      </c>
      <c r="L83" s="1">
        <v>0.73899999999999999</v>
      </c>
      <c r="M83" s="1">
        <v>1.2909999999999999</v>
      </c>
      <c r="N83" s="1">
        <v>660</v>
      </c>
      <c r="O83" s="1">
        <v>163.30000000000001</v>
      </c>
      <c r="P83" s="1">
        <v>218.2</v>
      </c>
      <c r="Q83" s="1">
        <v>11.5</v>
      </c>
      <c r="R83" s="1">
        <v>94.8</v>
      </c>
      <c r="S83" s="1">
        <v>9.42</v>
      </c>
      <c r="T83" s="1">
        <v>11.7</v>
      </c>
      <c r="U83" s="1">
        <v>0</v>
      </c>
    </row>
    <row r="84" spans="1:21">
      <c r="A84" s="108">
        <v>2</v>
      </c>
      <c r="B84" s="1">
        <v>0.53120000000000001</v>
      </c>
      <c r="C84" s="108">
        <f t="shared" ref="C84:C115" si="11">B84*145.038</f>
        <v>77.044185600000006</v>
      </c>
      <c r="D84" s="1">
        <v>1274.7</v>
      </c>
      <c r="E84" s="1">
        <f t="shared" ref="E84:E115" si="12">1/F84</f>
        <v>22.603978300180831</v>
      </c>
      <c r="F84" s="1">
        <v>4.4240000000000002E-2</v>
      </c>
      <c r="G84" s="1">
        <v>202.35</v>
      </c>
      <c r="H84" s="1">
        <v>405.78</v>
      </c>
      <c r="I84" s="1">
        <v>1.0085</v>
      </c>
      <c r="J84" s="1">
        <v>1.7478</v>
      </c>
      <c r="K84" s="1">
        <v>1.175</v>
      </c>
      <c r="L84" s="1">
        <v>0.748</v>
      </c>
      <c r="M84" s="1">
        <v>1.296</v>
      </c>
      <c r="N84" s="1">
        <v>650</v>
      </c>
      <c r="O84" s="1">
        <v>163.19999999999999</v>
      </c>
      <c r="P84" s="1">
        <v>213.5</v>
      </c>
      <c r="Q84" s="1">
        <v>11.59</v>
      </c>
      <c r="R84" s="1">
        <v>93.9</v>
      </c>
      <c r="S84" s="1">
        <v>9.56</v>
      </c>
      <c r="T84" s="1">
        <v>11.4</v>
      </c>
      <c r="U84" s="1">
        <v>2</v>
      </c>
    </row>
    <row r="85" spans="1:21">
      <c r="A85" s="108">
        <v>4</v>
      </c>
      <c r="B85" s="1">
        <v>0.56605000000000005</v>
      </c>
      <c r="C85" s="108">
        <f t="shared" si="11"/>
        <v>82.098759900000019</v>
      </c>
      <c r="D85" s="1">
        <v>1267.8</v>
      </c>
      <c r="E85" s="1">
        <f t="shared" si="12"/>
        <v>24.044241404183698</v>
      </c>
      <c r="F85" s="1">
        <v>4.1590000000000002E-2</v>
      </c>
      <c r="G85" s="1">
        <v>204.71</v>
      </c>
      <c r="H85" s="1">
        <v>406.5</v>
      </c>
      <c r="I85" s="1">
        <v>1.0168999999999999</v>
      </c>
      <c r="J85" s="1">
        <v>1.7450000000000001</v>
      </c>
      <c r="K85" s="1">
        <v>1.181</v>
      </c>
      <c r="L85" s="1">
        <v>0.75700000000000001</v>
      </c>
      <c r="M85" s="1">
        <v>1.3009999999999999</v>
      </c>
      <c r="N85" s="1">
        <v>641</v>
      </c>
      <c r="O85" s="1">
        <v>163.1</v>
      </c>
      <c r="P85" s="1">
        <v>208.9</v>
      </c>
      <c r="Q85" s="1">
        <v>11.68</v>
      </c>
      <c r="R85" s="1">
        <v>93.1</v>
      </c>
      <c r="S85" s="1">
        <v>9.6999999999999993</v>
      </c>
      <c r="T85" s="1">
        <v>11.1</v>
      </c>
      <c r="U85" s="1">
        <v>4</v>
      </c>
    </row>
    <row r="86" spans="1:21">
      <c r="A86" s="108">
        <v>6</v>
      </c>
      <c r="B86" s="1">
        <v>0.60258999999999996</v>
      </c>
      <c r="C86" s="108">
        <f t="shared" si="11"/>
        <v>87.398448419999994</v>
      </c>
      <c r="D86" s="1">
        <v>1260.8</v>
      </c>
      <c r="E86" s="1">
        <f t="shared" si="12"/>
        <v>25.555839509327882</v>
      </c>
      <c r="F86" s="1">
        <v>3.9129999999999998E-2</v>
      </c>
      <c r="G86" s="1">
        <v>207.09</v>
      </c>
      <c r="H86" s="1">
        <v>407.2</v>
      </c>
      <c r="I86" s="1">
        <v>1.0254000000000001</v>
      </c>
      <c r="J86" s="1">
        <v>1.7422</v>
      </c>
      <c r="K86" s="1">
        <v>1.1870000000000001</v>
      </c>
      <c r="L86" s="1">
        <v>0.76600000000000001</v>
      </c>
      <c r="M86" s="1">
        <v>1.3069999999999999</v>
      </c>
      <c r="N86" s="1">
        <v>632</v>
      </c>
      <c r="O86" s="1">
        <v>163</v>
      </c>
      <c r="P86" s="1">
        <v>204.4</v>
      </c>
      <c r="Q86" s="1">
        <v>11.77</v>
      </c>
      <c r="R86" s="1">
        <v>92.2</v>
      </c>
      <c r="S86" s="1">
        <v>9.84</v>
      </c>
      <c r="T86" s="1">
        <v>10.81</v>
      </c>
      <c r="U86" s="1">
        <v>6</v>
      </c>
    </row>
    <row r="87" spans="1:21">
      <c r="A87" s="108">
        <v>8</v>
      </c>
      <c r="B87" s="1">
        <v>0.64088000000000001</v>
      </c>
      <c r="C87" s="108">
        <f t="shared" si="11"/>
        <v>92.951953440000011</v>
      </c>
      <c r="D87" s="1">
        <v>1253.8</v>
      </c>
      <c r="E87" s="1">
        <f t="shared" si="12"/>
        <v>27.151778441487917</v>
      </c>
      <c r="F87" s="1">
        <v>3.6830000000000002E-2</v>
      </c>
      <c r="G87" s="1">
        <v>209.47</v>
      </c>
      <c r="H87" s="1">
        <v>407.89</v>
      </c>
      <c r="I87" s="1">
        <v>1.0338000000000001</v>
      </c>
      <c r="J87" s="1">
        <v>1.7395</v>
      </c>
      <c r="K87" s="1">
        <v>1.1930000000000001</v>
      </c>
      <c r="L87" s="1">
        <v>0.77500000000000002</v>
      </c>
      <c r="M87" s="1">
        <v>1.3129999999999999</v>
      </c>
      <c r="N87" s="1">
        <v>622</v>
      </c>
      <c r="O87" s="1">
        <v>162.80000000000001</v>
      </c>
      <c r="P87" s="1">
        <v>200</v>
      </c>
      <c r="Q87" s="1">
        <v>11.86</v>
      </c>
      <c r="R87" s="1">
        <v>91.3</v>
      </c>
      <c r="S87" s="1">
        <v>9.99</v>
      </c>
      <c r="T87" s="1">
        <v>10.51</v>
      </c>
      <c r="U87" s="1">
        <v>8</v>
      </c>
    </row>
    <row r="88" spans="1:21">
      <c r="A88" s="108">
        <v>10</v>
      </c>
      <c r="B88" s="1">
        <v>0.68095000000000006</v>
      </c>
      <c r="C88" s="108">
        <f t="shared" si="11"/>
        <v>98.76362610000001</v>
      </c>
      <c r="D88" s="1">
        <v>1246.7</v>
      </c>
      <c r="E88" s="1">
        <f t="shared" si="12"/>
        <v>28.81844380403458</v>
      </c>
      <c r="F88" s="1">
        <v>3.4700000000000002E-2</v>
      </c>
      <c r="G88" s="1">
        <v>211.87</v>
      </c>
      <c r="H88" s="1">
        <v>408.56</v>
      </c>
      <c r="I88" s="1">
        <v>1.0422</v>
      </c>
      <c r="J88" s="1">
        <v>1.7367999999999999</v>
      </c>
      <c r="K88" s="1">
        <v>1.1990000000000001</v>
      </c>
      <c r="L88" s="1">
        <v>0.78500000000000003</v>
      </c>
      <c r="M88" s="1">
        <v>1.319</v>
      </c>
      <c r="N88" s="1">
        <v>613</v>
      </c>
      <c r="O88" s="1">
        <v>162.6</v>
      </c>
      <c r="P88" s="1">
        <v>195.7</v>
      </c>
      <c r="Q88" s="1">
        <v>11.96</v>
      </c>
      <c r="R88" s="1">
        <v>90.4</v>
      </c>
      <c r="S88" s="1">
        <v>10.14</v>
      </c>
      <c r="T88" s="1">
        <v>10.220000000000001</v>
      </c>
      <c r="U88" s="1">
        <v>10</v>
      </c>
    </row>
    <row r="89" spans="1:21">
      <c r="A89" s="108">
        <v>12</v>
      </c>
      <c r="B89" s="1">
        <v>0.72285999999999995</v>
      </c>
      <c r="C89" s="108">
        <f t="shared" si="11"/>
        <v>104.84216868</v>
      </c>
      <c r="D89" s="1">
        <v>1239.5</v>
      </c>
      <c r="E89" s="1">
        <f t="shared" si="12"/>
        <v>30.571690614490979</v>
      </c>
      <c r="F89" s="1">
        <v>3.2710000000000003E-2</v>
      </c>
      <c r="G89" s="1">
        <v>214.28</v>
      </c>
      <c r="H89" s="1">
        <v>409.21</v>
      </c>
      <c r="I89" s="1">
        <v>1.0505</v>
      </c>
      <c r="J89" s="1">
        <v>1.7341</v>
      </c>
      <c r="K89" s="1">
        <v>1.206</v>
      </c>
      <c r="L89" s="1">
        <v>0.79500000000000004</v>
      </c>
      <c r="M89" s="1">
        <v>1.3260000000000001</v>
      </c>
      <c r="N89" s="1">
        <v>603</v>
      </c>
      <c r="O89" s="1">
        <v>162.4</v>
      </c>
      <c r="P89" s="1">
        <v>191.5</v>
      </c>
      <c r="Q89" s="1">
        <v>12.05</v>
      </c>
      <c r="R89" s="1">
        <v>89.5</v>
      </c>
      <c r="S89" s="1">
        <v>10.29</v>
      </c>
      <c r="T89" s="1">
        <v>9.93</v>
      </c>
      <c r="U89" s="1">
        <v>12</v>
      </c>
    </row>
    <row r="90" spans="1:21">
      <c r="A90" s="108">
        <v>14</v>
      </c>
      <c r="B90" s="1">
        <v>0.76668000000000003</v>
      </c>
      <c r="C90" s="108">
        <f t="shared" si="11"/>
        <v>111.19773384000001</v>
      </c>
      <c r="D90" s="1">
        <v>1232.2</v>
      </c>
      <c r="E90" s="1">
        <f t="shared" si="12"/>
        <v>32.404406999351913</v>
      </c>
      <c r="F90" s="1">
        <v>3.0859999999999999E-2</v>
      </c>
      <c r="G90" s="1">
        <v>216.7</v>
      </c>
      <c r="H90" s="1">
        <v>409.85</v>
      </c>
      <c r="I90" s="1">
        <v>1.0589</v>
      </c>
      <c r="J90" s="1">
        <v>1.7315</v>
      </c>
      <c r="K90" s="1">
        <v>1.2130000000000001</v>
      </c>
      <c r="L90" s="1">
        <v>0.80600000000000005</v>
      </c>
      <c r="M90" s="1">
        <v>1.333</v>
      </c>
      <c r="N90" s="1">
        <v>594</v>
      </c>
      <c r="O90" s="1">
        <v>162.19999999999999</v>
      </c>
      <c r="P90" s="1">
        <v>187.3</v>
      </c>
      <c r="Q90" s="1">
        <v>12.14</v>
      </c>
      <c r="R90" s="1">
        <v>88.6</v>
      </c>
      <c r="S90" s="1">
        <v>10.45</v>
      </c>
      <c r="T90" s="1">
        <v>9.64</v>
      </c>
      <c r="U90" s="1">
        <v>14</v>
      </c>
    </row>
    <row r="91" spans="1:21">
      <c r="A91" s="108">
        <v>16</v>
      </c>
      <c r="B91" s="1">
        <v>0.81244000000000005</v>
      </c>
      <c r="C91" s="108">
        <f t="shared" si="11"/>
        <v>117.83467272000001</v>
      </c>
      <c r="D91" s="1">
        <v>1224.9000000000001</v>
      </c>
      <c r="E91" s="1">
        <f t="shared" si="12"/>
        <v>34.340659340659343</v>
      </c>
      <c r="F91" s="1">
        <v>2.912E-2</v>
      </c>
      <c r="G91" s="1">
        <v>219.14</v>
      </c>
      <c r="H91" s="1">
        <v>410.47</v>
      </c>
      <c r="I91" s="1">
        <v>1.0671999999999999</v>
      </c>
      <c r="J91" s="1">
        <v>1.7289000000000001</v>
      </c>
      <c r="K91" s="1">
        <v>1.22</v>
      </c>
      <c r="L91" s="1">
        <v>0.81699999999999995</v>
      </c>
      <c r="M91" s="1">
        <v>1.34</v>
      </c>
      <c r="N91" s="1">
        <v>584</v>
      </c>
      <c r="O91" s="1">
        <v>161.9</v>
      </c>
      <c r="P91" s="1">
        <v>183.2</v>
      </c>
      <c r="Q91" s="1">
        <v>12.24</v>
      </c>
      <c r="R91" s="1">
        <v>87.7</v>
      </c>
      <c r="S91" s="1">
        <v>10.61</v>
      </c>
      <c r="T91" s="1">
        <v>9.35</v>
      </c>
      <c r="U91" s="1">
        <v>16</v>
      </c>
    </row>
    <row r="92" spans="1:21">
      <c r="A92" s="108">
        <v>18</v>
      </c>
      <c r="B92" s="1">
        <v>0.86019999999999996</v>
      </c>
      <c r="C92" s="108">
        <f t="shared" si="11"/>
        <v>124.7616876</v>
      </c>
      <c r="D92" s="1">
        <v>1217.4000000000001</v>
      </c>
      <c r="E92" s="1">
        <f t="shared" si="12"/>
        <v>36.363636363636367</v>
      </c>
      <c r="F92" s="1">
        <v>2.75E-2</v>
      </c>
      <c r="G92" s="1">
        <v>221.59</v>
      </c>
      <c r="H92" s="1">
        <v>411.07</v>
      </c>
      <c r="I92" s="1">
        <v>1.0754999999999999</v>
      </c>
      <c r="J92" s="1">
        <v>1.7262999999999999</v>
      </c>
      <c r="K92" s="1">
        <v>1.228</v>
      </c>
      <c r="L92" s="1">
        <v>0.82799999999999996</v>
      </c>
      <c r="M92" s="1">
        <v>1.3480000000000001</v>
      </c>
      <c r="N92" s="1">
        <v>575</v>
      </c>
      <c r="O92" s="1">
        <v>161.6</v>
      </c>
      <c r="P92" s="1">
        <v>179.2</v>
      </c>
      <c r="Q92" s="1">
        <v>12.33</v>
      </c>
      <c r="R92" s="1">
        <v>86.8</v>
      </c>
      <c r="S92" s="1">
        <v>10.77</v>
      </c>
      <c r="T92" s="1">
        <v>9.06</v>
      </c>
      <c r="U92" s="1">
        <v>18</v>
      </c>
    </row>
    <row r="93" spans="1:21">
      <c r="A93" s="108">
        <v>20</v>
      </c>
      <c r="B93" s="1">
        <v>0.91002000000000005</v>
      </c>
      <c r="C93" s="108">
        <f t="shared" si="11"/>
        <v>131.98748076000001</v>
      </c>
      <c r="D93" s="1">
        <v>1209.9000000000001</v>
      </c>
      <c r="E93" s="1">
        <f t="shared" si="12"/>
        <v>38.47633705271258</v>
      </c>
      <c r="F93" s="1">
        <v>2.5989999999999999E-2</v>
      </c>
      <c r="G93" s="1">
        <v>224.06</v>
      </c>
      <c r="H93" s="1">
        <v>411.66</v>
      </c>
      <c r="I93" s="1">
        <v>1.0838000000000001</v>
      </c>
      <c r="J93" s="1">
        <v>1.7238</v>
      </c>
      <c r="K93" s="1">
        <v>1.236</v>
      </c>
      <c r="L93" s="1">
        <v>0.84</v>
      </c>
      <c r="M93" s="1">
        <v>1.357</v>
      </c>
      <c r="N93" s="1">
        <v>565</v>
      </c>
      <c r="O93" s="1">
        <v>161.30000000000001</v>
      </c>
      <c r="P93" s="1">
        <v>175.3</v>
      </c>
      <c r="Q93" s="1">
        <v>12.43</v>
      </c>
      <c r="R93" s="1">
        <v>85.9</v>
      </c>
      <c r="S93" s="1">
        <v>10.95</v>
      </c>
      <c r="T93" s="1">
        <v>8.7799999999999994</v>
      </c>
      <c r="U93" s="1">
        <v>20</v>
      </c>
    </row>
    <row r="94" spans="1:21">
      <c r="A94" s="108">
        <v>22</v>
      </c>
      <c r="B94" s="1">
        <v>0.96194999999999997</v>
      </c>
      <c r="C94" s="108">
        <f t="shared" si="11"/>
        <v>139.5193041</v>
      </c>
      <c r="D94" s="1">
        <v>1202.3</v>
      </c>
      <c r="E94" s="1">
        <f t="shared" si="12"/>
        <v>40.700040700040695</v>
      </c>
      <c r="F94" s="1">
        <v>2.4570000000000002E-2</v>
      </c>
      <c r="G94" s="1">
        <v>226.54</v>
      </c>
      <c r="H94" s="1">
        <v>412.22</v>
      </c>
      <c r="I94" s="1">
        <v>1.0921000000000001</v>
      </c>
      <c r="J94" s="1">
        <v>1.7212000000000001</v>
      </c>
      <c r="K94" s="1">
        <v>1.244</v>
      </c>
      <c r="L94" s="1">
        <v>0.85299999999999998</v>
      </c>
      <c r="M94" s="1">
        <v>1.3660000000000001</v>
      </c>
      <c r="N94" s="1">
        <v>555</v>
      </c>
      <c r="O94" s="1">
        <v>161</v>
      </c>
      <c r="P94" s="1">
        <v>171.5</v>
      </c>
      <c r="Q94" s="1">
        <v>12.53</v>
      </c>
      <c r="R94" s="1">
        <v>85</v>
      </c>
      <c r="S94" s="1">
        <v>11.12</v>
      </c>
      <c r="T94" s="1">
        <v>8.5</v>
      </c>
      <c r="U94" s="1">
        <v>22</v>
      </c>
    </row>
    <row r="95" spans="1:21">
      <c r="A95" s="108">
        <v>24</v>
      </c>
      <c r="B95" s="1">
        <v>1.016</v>
      </c>
      <c r="C95" s="108">
        <f t="shared" si="11"/>
        <v>147.358608</v>
      </c>
      <c r="D95" s="1">
        <v>1194.5999999999999</v>
      </c>
      <c r="E95" s="1">
        <f t="shared" si="12"/>
        <v>43.029259896729776</v>
      </c>
      <c r="F95" s="1">
        <v>2.324E-2</v>
      </c>
      <c r="G95" s="1">
        <v>229.04</v>
      </c>
      <c r="H95" s="1">
        <v>412.77</v>
      </c>
      <c r="I95" s="1">
        <v>1.1004</v>
      </c>
      <c r="J95" s="1">
        <v>1.7186999999999999</v>
      </c>
      <c r="K95" s="1">
        <v>1.252</v>
      </c>
      <c r="L95" s="1">
        <v>0.86599999999999999</v>
      </c>
      <c r="M95" s="1">
        <v>1.375</v>
      </c>
      <c r="N95" s="1">
        <v>546</v>
      </c>
      <c r="O95" s="1">
        <v>160.6</v>
      </c>
      <c r="P95" s="1">
        <v>167.7</v>
      </c>
      <c r="Q95" s="1">
        <v>12.63</v>
      </c>
      <c r="R95" s="1">
        <v>84.1</v>
      </c>
      <c r="S95" s="1">
        <v>11.3</v>
      </c>
      <c r="T95" s="1">
        <v>8.2200000000000006</v>
      </c>
      <c r="U95" s="1">
        <v>24</v>
      </c>
    </row>
    <row r="96" spans="1:21">
      <c r="A96" s="108">
        <v>26</v>
      </c>
      <c r="B96" s="1">
        <v>1.0724</v>
      </c>
      <c r="C96" s="108">
        <f t="shared" si="11"/>
        <v>155.53875120000001</v>
      </c>
      <c r="D96" s="1">
        <v>1186.7</v>
      </c>
      <c r="E96" s="1">
        <f t="shared" si="12"/>
        <v>45.475216007276039</v>
      </c>
      <c r="F96" s="1">
        <v>2.1989999999999999E-2</v>
      </c>
      <c r="G96" s="1">
        <v>231.55</v>
      </c>
      <c r="H96" s="1">
        <v>413.29</v>
      </c>
      <c r="I96" s="1">
        <v>1.1086</v>
      </c>
      <c r="J96" s="1">
        <v>1.7161999999999999</v>
      </c>
      <c r="K96" s="1">
        <v>1.2609999999999999</v>
      </c>
      <c r="L96" s="1">
        <v>0.879</v>
      </c>
      <c r="M96" s="1">
        <v>1.385</v>
      </c>
      <c r="N96" s="1">
        <v>536</v>
      </c>
      <c r="O96" s="1">
        <v>160.19999999999999</v>
      </c>
      <c r="P96" s="1">
        <v>163.9</v>
      </c>
      <c r="Q96" s="1">
        <v>12.74</v>
      </c>
      <c r="R96" s="1">
        <v>83.2</v>
      </c>
      <c r="S96" s="1">
        <v>11.49</v>
      </c>
      <c r="T96" s="1">
        <v>7.94</v>
      </c>
      <c r="U96" s="1">
        <v>26</v>
      </c>
    </row>
    <row r="97" spans="1:30">
      <c r="A97" s="108">
        <v>28</v>
      </c>
      <c r="B97" s="1">
        <v>1.1309</v>
      </c>
      <c r="C97" s="108">
        <f t="shared" si="11"/>
        <v>164.02347420000001</v>
      </c>
      <c r="D97" s="1">
        <v>1178.8</v>
      </c>
      <c r="E97" s="1">
        <f t="shared" si="12"/>
        <v>48.030739673390968</v>
      </c>
      <c r="F97" s="1">
        <v>2.0820000000000002E-2</v>
      </c>
      <c r="G97" s="1">
        <v>234.08</v>
      </c>
      <c r="H97" s="1">
        <v>413.79</v>
      </c>
      <c r="I97" s="1">
        <v>1.1169</v>
      </c>
      <c r="J97" s="1">
        <v>1.7136</v>
      </c>
      <c r="K97" s="1">
        <v>1.2709999999999999</v>
      </c>
      <c r="L97" s="1">
        <v>0.89300000000000002</v>
      </c>
      <c r="M97" s="1">
        <v>1.3959999999999999</v>
      </c>
      <c r="N97" s="1">
        <v>527</v>
      </c>
      <c r="O97" s="1">
        <v>159.69999999999999</v>
      </c>
      <c r="P97" s="1">
        <v>160.30000000000001</v>
      </c>
      <c r="Q97" s="1">
        <v>12.84</v>
      </c>
      <c r="R97" s="1">
        <v>82.3</v>
      </c>
      <c r="S97" s="1">
        <v>11.69</v>
      </c>
      <c r="T97" s="1">
        <v>7.66</v>
      </c>
      <c r="U97" s="1">
        <v>28</v>
      </c>
    </row>
    <row r="98" spans="1:30">
      <c r="A98" s="108">
        <v>30</v>
      </c>
      <c r="B98" s="1">
        <v>1.1919</v>
      </c>
      <c r="C98" s="108">
        <f t="shared" si="11"/>
        <v>172.87079220000001</v>
      </c>
      <c r="D98" s="1">
        <v>1170.7</v>
      </c>
      <c r="E98" s="1">
        <f t="shared" si="12"/>
        <v>50.709939148073019</v>
      </c>
      <c r="F98" s="1">
        <v>1.9720000000000001E-2</v>
      </c>
      <c r="G98" s="1">
        <v>236.62</v>
      </c>
      <c r="H98" s="1">
        <v>414.26</v>
      </c>
      <c r="I98" s="1">
        <v>1.1252</v>
      </c>
      <c r="J98" s="1">
        <v>1.7111000000000001</v>
      </c>
      <c r="K98" s="1">
        <v>1.2809999999999999</v>
      </c>
      <c r="L98" s="1">
        <v>0.90800000000000003</v>
      </c>
      <c r="M98" s="1">
        <v>1.4079999999999999</v>
      </c>
      <c r="N98" s="1">
        <v>517</v>
      </c>
      <c r="O98" s="1">
        <v>159.19999999999999</v>
      </c>
      <c r="P98" s="1">
        <v>156.69999999999999</v>
      </c>
      <c r="Q98" s="1">
        <v>12.95</v>
      </c>
      <c r="R98" s="1">
        <v>81.400000000000006</v>
      </c>
      <c r="S98" s="1">
        <v>11.89</v>
      </c>
      <c r="T98" s="1">
        <v>7.38</v>
      </c>
      <c r="U98" s="1">
        <v>30</v>
      </c>
    </row>
    <row r="99" spans="1:30">
      <c r="A99" s="108">
        <v>32</v>
      </c>
      <c r="B99" s="1">
        <v>1.2552000000000001</v>
      </c>
      <c r="C99" s="108">
        <f t="shared" si="11"/>
        <v>182.05169760000004</v>
      </c>
      <c r="D99" s="1">
        <v>1162.5999999999999</v>
      </c>
      <c r="E99" s="1">
        <f t="shared" si="12"/>
        <v>53.504547886570364</v>
      </c>
      <c r="F99" s="1">
        <v>1.8689999999999998E-2</v>
      </c>
      <c r="G99" s="1">
        <v>239.19</v>
      </c>
      <c r="H99" s="1">
        <v>414.71</v>
      </c>
      <c r="I99" s="1">
        <v>1.1334</v>
      </c>
      <c r="J99" s="1">
        <v>1.7085999999999999</v>
      </c>
      <c r="K99" s="1">
        <v>1.2909999999999999</v>
      </c>
      <c r="L99" s="1">
        <v>0.92400000000000004</v>
      </c>
      <c r="M99" s="1">
        <v>1.42</v>
      </c>
      <c r="N99" s="1">
        <v>507</v>
      </c>
      <c r="O99" s="1">
        <v>158.69999999999999</v>
      </c>
      <c r="P99" s="1">
        <v>153.1</v>
      </c>
      <c r="Q99" s="1">
        <v>13.06</v>
      </c>
      <c r="R99" s="1">
        <v>80.5</v>
      </c>
      <c r="S99" s="1">
        <v>12.1</v>
      </c>
      <c r="T99" s="1">
        <v>7.11</v>
      </c>
      <c r="U99" s="1">
        <v>32</v>
      </c>
    </row>
    <row r="100" spans="1:30">
      <c r="A100" s="108">
        <v>34</v>
      </c>
      <c r="B100" s="1">
        <v>1.321</v>
      </c>
      <c r="C100" s="108">
        <f t="shared" si="11"/>
        <v>191.59519800000001</v>
      </c>
      <c r="D100" s="1">
        <v>1154.3</v>
      </c>
      <c r="E100" s="1">
        <f t="shared" si="12"/>
        <v>56.465273856578207</v>
      </c>
      <c r="F100" s="1">
        <v>1.771E-2</v>
      </c>
      <c r="G100" s="1">
        <v>241.77</v>
      </c>
      <c r="H100" s="1">
        <v>415.14</v>
      </c>
      <c r="I100" s="1">
        <v>1.1416999999999999</v>
      </c>
      <c r="J100" s="1">
        <v>1.7060999999999999</v>
      </c>
      <c r="K100" s="1">
        <v>1.302</v>
      </c>
      <c r="L100" s="1">
        <v>0.94</v>
      </c>
      <c r="M100" s="1">
        <v>1.4339999999999999</v>
      </c>
      <c r="N100" s="1">
        <v>497</v>
      </c>
      <c r="O100" s="1">
        <v>158.19999999999999</v>
      </c>
      <c r="P100" s="1">
        <v>149.6</v>
      </c>
      <c r="Q100" s="1">
        <v>13.17</v>
      </c>
      <c r="R100" s="1">
        <v>79.599999999999994</v>
      </c>
      <c r="S100" s="1">
        <v>12.31</v>
      </c>
      <c r="T100" s="1">
        <v>6.84</v>
      </c>
      <c r="U100" s="1">
        <v>34</v>
      </c>
    </row>
    <row r="101" spans="1:30">
      <c r="A101" s="108">
        <v>36</v>
      </c>
      <c r="B101" s="1">
        <v>1.3892</v>
      </c>
      <c r="C101" s="108">
        <f t="shared" si="11"/>
        <v>201.48678960000001</v>
      </c>
      <c r="D101" s="1">
        <v>1145.8</v>
      </c>
      <c r="E101" s="1">
        <f t="shared" si="12"/>
        <v>59.559261465157832</v>
      </c>
      <c r="F101" s="1">
        <v>1.6789999999999999E-2</v>
      </c>
      <c r="G101" s="1">
        <v>244.38</v>
      </c>
      <c r="H101" s="1">
        <v>415.54</v>
      </c>
      <c r="I101" s="1">
        <v>1.1498999999999999</v>
      </c>
      <c r="J101" s="1">
        <v>1.7036</v>
      </c>
      <c r="K101" s="1">
        <v>1.3140000000000001</v>
      </c>
      <c r="L101" s="1">
        <v>0.95699999999999996</v>
      </c>
      <c r="M101" s="1">
        <v>1.448</v>
      </c>
      <c r="N101" s="1">
        <v>487</v>
      </c>
      <c r="O101" s="1">
        <v>157.6</v>
      </c>
      <c r="P101" s="1">
        <v>146.1</v>
      </c>
      <c r="Q101" s="1">
        <v>13.28</v>
      </c>
      <c r="R101" s="1">
        <v>78.7</v>
      </c>
      <c r="S101" s="1">
        <v>12.54</v>
      </c>
      <c r="T101" s="1">
        <v>6.57</v>
      </c>
      <c r="U101" s="1">
        <v>36</v>
      </c>
    </row>
    <row r="102" spans="1:30">
      <c r="A102" s="108">
        <v>38</v>
      </c>
      <c r="B102" s="1">
        <v>1.4601</v>
      </c>
      <c r="C102" s="108">
        <f t="shared" si="11"/>
        <v>211.76998380000001</v>
      </c>
      <c r="D102" s="1">
        <v>1137.3</v>
      </c>
      <c r="E102" s="1">
        <f t="shared" si="12"/>
        <v>62.774639045825488</v>
      </c>
      <c r="F102" s="1">
        <v>1.593E-2</v>
      </c>
      <c r="G102" s="1">
        <v>247</v>
      </c>
      <c r="H102" s="1">
        <v>415.91</v>
      </c>
      <c r="I102" s="1">
        <v>1.1581999999999999</v>
      </c>
      <c r="J102" s="1">
        <v>1.7010000000000001</v>
      </c>
      <c r="K102" s="1">
        <v>1.3260000000000001</v>
      </c>
      <c r="L102" s="1">
        <v>0.97599999999999998</v>
      </c>
      <c r="M102" s="1">
        <v>1.4630000000000001</v>
      </c>
      <c r="N102" s="1">
        <v>478</v>
      </c>
      <c r="O102" s="1">
        <v>157</v>
      </c>
      <c r="P102" s="1">
        <v>142.69999999999999</v>
      </c>
      <c r="Q102" s="1">
        <v>13.4</v>
      </c>
      <c r="R102" s="1">
        <v>77.8</v>
      </c>
      <c r="S102" s="1">
        <v>12.77</v>
      </c>
      <c r="T102" s="1">
        <v>6.3</v>
      </c>
      <c r="U102" s="1">
        <v>38</v>
      </c>
    </row>
    <row r="103" spans="1:30">
      <c r="A103" s="108">
        <v>40</v>
      </c>
      <c r="B103" s="1">
        <v>1.5336000000000001</v>
      </c>
      <c r="C103" s="108">
        <f t="shared" si="11"/>
        <v>222.43027680000003</v>
      </c>
      <c r="D103" s="1">
        <v>1128.5</v>
      </c>
      <c r="E103" s="1">
        <f t="shared" si="12"/>
        <v>66.181336863004631</v>
      </c>
      <c r="F103" s="1">
        <v>1.511E-2</v>
      </c>
      <c r="G103" s="1">
        <v>249.65</v>
      </c>
      <c r="H103" s="1">
        <v>416.25</v>
      </c>
      <c r="I103" s="1">
        <v>1.1665000000000001</v>
      </c>
      <c r="J103" s="1">
        <v>1.6984999999999999</v>
      </c>
      <c r="K103" s="1">
        <v>1.339</v>
      </c>
      <c r="L103" s="1">
        <v>0.995</v>
      </c>
      <c r="M103" s="1">
        <v>1.48</v>
      </c>
      <c r="N103" s="1">
        <v>468</v>
      </c>
      <c r="O103" s="1">
        <v>156.4</v>
      </c>
      <c r="P103" s="1">
        <v>139.4</v>
      </c>
      <c r="Q103" s="1">
        <v>13.52</v>
      </c>
      <c r="R103" s="1">
        <v>76.900000000000006</v>
      </c>
      <c r="S103" s="1">
        <v>13.02</v>
      </c>
      <c r="T103" s="1">
        <v>6.04</v>
      </c>
      <c r="U103" s="1">
        <v>40</v>
      </c>
    </row>
    <row r="104" spans="1:30">
      <c r="A104" s="108">
        <v>42</v>
      </c>
      <c r="B104" s="1">
        <v>1.6097999999999999</v>
      </c>
      <c r="C104" s="108">
        <f t="shared" si="11"/>
        <v>233.4821724</v>
      </c>
      <c r="D104" s="1">
        <v>1119.5999999999999</v>
      </c>
      <c r="E104" s="1">
        <f t="shared" si="12"/>
        <v>69.783670621074663</v>
      </c>
      <c r="F104" s="1">
        <v>1.4330000000000001E-2</v>
      </c>
      <c r="G104" s="1">
        <v>252.32</v>
      </c>
      <c r="H104" s="1">
        <v>416.55</v>
      </c>
      <c r="I104" s="1">
        <v>1.1747000000000001</v>
      </c>
      <c r="J104" s="1">
        <v>1.6959</v>
      </c>
      <c r="K104" s="1">
        <v>1.353</v>
      </c>
      <c r="L104" s="1">
        <v>1.0149999999999999</v>
      </c>
      <c r="M104" s="1">
        <v>1.498</v>
      </c>
      <c r="N104" s="1">
        <v>458</v>
      </c>
      <c r="O104" s="1">
        <v>155.69999999999999</v>
      </c>
      <c r="P104" s="1">
        <v>136.1</v>
      </c>
      <c r="Q104" s="1">
        <v>13.64</v>
      </c>
      <c r="R104" s="1">
        <v>76</v>
      </c>
      <c r="S104" s="1">
        <v>13.28</v>
      </c>
      <c r="T104" s="1">
        <v>5.77</v>
      </c>
      <c r="U104" s="1">
        <v>42</v>
      </c>
    </row>
    <row r="105" spans="1:30">
      <c r="A105" s="108">
        <v>44</v>
      </c>
      <c r="B105" s="1">
        <v>1.6887000000000001</v>
      </c>
      <c r="C105" s="108">
        <f t="shared" si="11"/>
        <v>244.92567060000002</v>
      </c>
      <c r="D105" s="1">
        <v>1110.5999999999999</v>
      </c>
      <c r="E105" s="1">
        <f t="shared" si="12"/>
        <v>73.529411764705884</v>
      </c>
      <c r="F105" s="1">
        <v>1.3599999999999999E-2</v>
      </c>
      <c r="G105" s="1">
        <v>255.01</v>
      </c>
      <c r="H105" s="1">
        <v>416.83</v>
      </c>
      <c r="I105" s="1">
        <v>1.1830000000000001</v>
      </c>
      <c r="J105" s="1">
        <v>1.6933</v>
      </c>
      <c r="K105" s="1">
        <v>1.3680000000000001</v>
      </c>
      <c r="L105" s="1">
        <v>1.0369999999999999</v>
      </c>
      <c r="M105" s="1">
        <v>1.5169999999999999</v>
      </c>
      <c r="N105" s="1">
        <v>448</v>
      </c>
      <c r="O105" s="1">
        <v>155</v>
      </c>
      <c r="P105" s="1">
        <v>132.80000000000001</v>
      </c>
      <c r="Q105" s="1">
        <v>13.77</v>
      </c>
      <c r="R105" s="1">
        <v>75.099999999999994</v>
      </c>
      <c r="S105" s="1">
        <v>13.55</v>
      </c>
      <c r="T105" s="1">
        <v>5.51</v>
      </c>
      <c r="U105" s="1">
        <v>44</v>
      </c>
    </row>
    <row r="106" spans="1:30">
      <c r="A106" s="108">
        <v>46</v>
      </c>
      <c r="B106" s="1">
        <v>1.7704</v>
      </c>
      <c r="C106" s="108">
        <f t="shared" si="11"/>
        <v>256.77527520000001</v>
      </c>
      <c r="D106" s="1">
        <v>1101.4000000000001</v>
      </c>
      <c r="E106" s="1">
        <f t="shared" si="12"/>
        <v>77.459333849728893</v>
      </c>
      <c r="F106" s="1">
        <v>1.291E-2</v>
      </c>
      <c r="G106" s="1">
        <v>257.73</v>
      </c>
      <c r="H106" s="1">
        <v>417.07</v>
      </c>
      <c r="I106" s="1">
        <v>1.1913</v>
      </c>
      <c r="J106" s="1">
        <v>1.6906000000000001</v>
      </c>
      <c r="K106" s="1">
        <v>1.3839999999999999</v>
      </c>
      <c r="L106" s="1">
        <v>1.0609999999999999</v>
      </c>
      <c r="M106" s="1">
        <v>1.538</v>
      </c>
      <c r="N106" s="1">
        <v>437</v>
      </c>
      <c r="O106" s="1">
        <v>154.19999999999999</v>
      </c>
      <c r="P106" s="1">
        <v>129.5</v>
      </c>
      <c r="Q106" s="1">
        <v>13.9</v>
      </c>
      <c r="R106" s="1">
        <v>74.099999999999994</v>
      </c>
      <c r="S106" s="1">
        <v>13.83</v>
      </c>
      <c r="T106" s="1">
        <v>5.25</v>
      </c>
      <c r="U106" s="1">
        <v>46</v>
      </c>
    </row>
    <row r="107" spans="1:30">
      <c r="A107" s="108">
        <v>48</v>
      </c>
      <c r="B107" s="1">
        <v>1.8551</v>
      </c>
      <c r="C107" s="108">
        <f t="shared" si="11"/>
        <v>269.05999380000003</v>
      </c>
      <c r="D107" s="1">
        <v>1091.9000000000001</v>
      </c>
      <c r="E107" s="1">
        <f t="shared" si="12"/>
        <v>81.566068515497548</v>
      </c>
      <c r="F107" s="1">
        <v>1.226E-2</v>
      </c>
      <c r="G107" s="1">
        <v>260.47000000000003</v>
      </c>
      <c r="H107" s="1">
        <v>417.27</v>
      </c>
      <c r="I107" s="1">
        <v>1.1997</v>
      </c>
      <c r="J107" s="1">
        <v>1.6879</v>
      </c>
      <c r="K107" s="1">
        <v>1.401</v>
      </c>
      <c r="L107" s="1">
        <v>1.0860000000000001</v>
      </c>
      <c r="M107" s="1">
        <v>1.5609999999999999</v>
      </c>
      <c r="N107" s="1">
        <v>427</v>
      </c>
      <c r="O107" s="1">
        <v>153.4</v>
      </c>
      <c r="P107" s="1">
        <v>126.3</v>
      </c>
      <c r="Q107" s="1">
        <v>14.04</v>
      </c>
      <c r="R107" s="1">
        <v>73.2</v>
      </c>
      <c r="S107" s="1">
        <v>14.13</v>
      </c>
      <c r="T107" s="1">
        <v>5</v>
      </c>
      <c r="U107" s="1">
        <v>48</v>
      </c>
    </row>
    <row r="108" spans="1:30">
      <c r="A108" s="108">
        <v>50</v>
      </c>
      <c r="B108" s="1">
        <v>1.9427000000000001</v>
      </c>
      <c r="C108" s="108">
        <f t="shared" si="11"/>
        <v>281.76532260000005</v>
      </c>
      <c r="D108" s="1">
        <v>1082.3</v>
      </c>
      <c r="E108" s="1">
        <f t="shared" si="12"/>
        <v>85.984522785898534</v>
      </c>
      <c r="F108" s="1">
        <v>1.163E-2</v>
      </c>
      <c r="G108" s="1">
        <v>263.25</v>
      </c>
      <c r="H108" s="1">
        <v>417.44</v>
      </c>
      <c r="I108" s="1">
        <v>1.208</v>
      </c>
      <c r="J108" s="1">
        <v>1.6852</v>
      </c>
      <c r="K108" s="1">
        <v>1.419</v>
      </c>
      <c r="L108" s="1">
        <v>1.113</v>
      </c>
      <c r="M108" s="1">
        <v>1.5860000000000001</v>
      </c>
      <c r="N108" s="1">
        <v>417</v>
      </c>
      <c r="O108" s="1">
        <v>152.6</v>
      </c>
      <c r="P108" s="1">
        <v>123.1</v>
      </c>
      <c r="Q108" s="1">
        <v>14.18</v>
      </c>
      <c r="R108" s="1">
        <v>72.3</v>
      </c>
      <c r="S108" s="1">
        <v>14.45</v>
      </c>
      <c r="T108" s="1">
        <v>4.74</v>
      </c>
      <c r="U108" s="1">
        <v>50</v>
      </c>
    </row>
    <row r="109" spans="1:30">
      <c r="A109" s="108">
        <v>52</v>
      </c>
      <c r="B109" s="1">
        <v>2.0333000000000001</v>
      </c>
      <c r="C109" s="108">
        <f t="shared" si="11"/>
        <v>294.90576540000006</v>
      </c>
      <c r="D109" s="1">
        <v>1072.4000000000001</v>
      </c>
      <c r="E109" s="1">
        <f t="shared" si="12"/>
        <v>90.579710144927546</v>
      </c>
      <c r="F109" s="1">
        <v>1.1039999999999999E-2</v>
      </c>
      <c r="G109" s="1">
        <v>266.05</v>
      </c>
      <c r="H109" s="1">
        <v>417.56</v>
      </c>
      <c r="I109" s="1">
        <v>1.2163999999999999</v>
      </c>
      <c r="J109" s="1">
        <v>1.6823999999999999</v>
      </c>
      <c r="K109" s="1">
        <v>1.4390000000000001</v>
      </c>
      <c r="L109" s="1">
        <v>1.1419999999999999</v>
      </c>
      <c r="M109" s="1">
        <v>1.6140000000000001</v>
      </c>
      <c r="N109" s="1">
        <v>407</v>
      </c>
      <c r="O109" s="1">
        <v>151.69999999999999</v>
      </c>
      <c r="P109" s="1">
        <v>120</v>
      </c>
      <c r="Q109" s="1">
        <v>14.32</v>
      </c>
      <c r="R109" s="1">
        <v>71.400000000000006</v>
      </c>
      <c r="S109" s="1">
        <v>14.78</v>
      </c>
      <c r="T109" s="1">
        <v>4.49</v>
      </c>
      <c r="U109" s="1">
        <v>52</v>
      </c>
    </row>
    <row r="110" spans="1:30">
      <c r="A110" s="108">
        <v>54</v>
      </c>
      <c r="B110" s="1">
        <v>2.1269999999999998</v>
      </c>
      <c r="C110" s="108">
        <f t="shared" si="11"/>
        <v>308.49582599999997</v>
      </c>
      <c r="D110" s="1">
        <v>1062.3</v>
      </c>
      <c r="E110" s="1">
        <f t="shared" si="12"/>
        <v>95.419847328244273</v>
      </c>
      <c r="F110" s="1">
        <v>1.048E-2</v>
      </c>
      <c r="G110" s="1">
        <v>268.89</v>
      </c>
      <c r="H110" s="1">
        <v>417.63</v>
      </c>
      <c r="I110" s="1">
        <v>1.2248000000000001</v>
      </c>
      <c r="J110" s="1">
        <v>1.6795</v>
      </c>
      <c r="K110" s="1">
        <v>1.4610000000000001</v>
      </c>
      <c r="L110" s="1">
        <v>1.173</v>
      </c>
      <c r="M110" s="1">
        <v>1.6439999999999999</v>
      </c>
      <c r="N110" s="1">
        <v>396</v>
      </c>
      <c r="O110" s="1">
        <v>150.80000000000001</v>
      </c>
      <c r="P110" s="1">
        <v>116.9</v>
      </c>
      <c r="Q110" s="1">
        <v>14.47</v>
      </c>
      <c r="R110" s="1">
        <v>70.400000000000006</v>
      </c>
      <c r="S110" s="1">
        <v>15.14</v>
      </c>
      <c r="T110" s="1">
        <v>4.24</v>
      </c>
      <c r="U110" s="1">
        <v>54</v>
      </c>
    </row>
    <row r="111" spans="1:30">
      <c r="A111" s="108">
        <v>56</v>
      </c>
      <c r="B111" s="1">
        <v>2.2239</v>
      </c>
      <c r="C111" s="108">
        <f t="shared" si="11"/>
        <v>322.55000820000004</v>
      </c>
      <c r="D111" s="1">
        <v>1052</v>
      </c>
      <c r="E111" s="1">
        <f t="shared" si="12"/>
        <v>100.50251256281406</v>
      </c>
      <c r="F111" s="1">
        <v>9.9500000000000005E-3</v>
      </c>
      <c r="G111" s="1">
        <v>271.76</v>
      </c>
      <c r="H111" s="1">
        <v>417.66</v>
      </c>
      <c r="I111" s="1">
        <v>1.2333000000000001</v>
      </c>
      <c r="J111" s="1">
        <v>1.6766000000000001</v>
      </c>
      <c r="K111" s="1">
        <v>1.4850000000000001</v>
      </c>
      <c r="L111" s="1">
        <v>1.208</v>
      </c>
      <c r="M111" s="1">
        <v>1.677</v>
      </c>
      <c r="N111" s="1">
        <v>386</v>
      </c>
      <c r="O111" s="1">
        <v>149.80000000000001</v>
      </c>
      <c r="P111" s="1">
        <v>113.8</v>
      </c>
      <c r="Q111" s="1">
        <v>14.63</v>
      </c>
      <c r="R111" s="1">
        <v>69.5</v>
      </c>
      <c r="S111" s="1">
        <v>15.52</v>
      </c>
      <c r="T111" s="1">
        <v>4</v>
      </c>
      <c r="U111" s="1">
        <v>56</v>
      </c>
    </row>
    <row r="112" spans="1:30">
      <c r="A112" s="108">
        <v>58</v>
      </c>
      <c r="B112" s="1">
        <v>2.3239999999999998</v>
      </c>
      <c r="C112" s="108">
        <f t="shared" si="11"/>
        <v>337.06831199999999</v>
      </c>
      <c r="D112" s="1">
        <v>1041.3</v>
      </c>
      <c r="E112" s="1">
        <f t="shared" si="12"/>
        <v>105.93220338983051</v>
      </c>
      <c r="F112" s="1">
        <v>9.4400000000000005E-3</v>
      </c>
      <c r="G112" s="1">
        <v>274.66000000000003</v>
      </c>
      <c r="H112" s="1">
        <v>417.63</v>
      </c>
      <c r="I112" s="1">
        <v>1.2418</v>
      </c>
      <c r="J112" s="1">
        <v>1.6736</v>
      </c>
      <c r="K112" s="1">
        <v>1.5109999999999999</v>
      </c>
      <c r="L112" s="1">
        <v>1.246</v>
      </c>
      <c r="M112" s="1">
        <v>1.714</v>
      </c>
      <c r="N112" s="1">
        <v>375</v>
      </c>
      <c r="O112" s="1">
        <v>148.80000000000001</v>
      </c>
      <c r="P112" s="1">
        <v>110.7</v>
      </c>
      <c r="Q112" s="1">
        <v>14.8</v>
      </c>
      <c r="R112" s="1">
        <v>68.599999999999994</v>
      </c>
      <c r="S112" s="1">
        <v>15.92</v>
      </c>
      <c r="T112" s="1">
        <v>3.75</v>
      </c>
      <c r="U112" s="1">
        <v>58</v>
      </c>
      <c r="Y112" t="s">
        <v>486</v>
      </c>
      <c r="Z112" t="s">
        <v>489</v>
      </c>
      <c r="AA112">
        <v>-18</v>
      </c>
      <c r="AB112">
        <v>445</v>
      </c>
      <c r="AC112">
        <v>445</v>
      </c>
      <c r="AD112">
        <f>(AC112-AB112)/AC112</f>
        <v>0</v>
      </c>
    </row>
    <row r="113" spans="1:30">
      <c r="A113" s="108">
        <v>60</v>
      </c>
      <c r="B113" s="1">
        <v>2.4275000000000002</v>
      </c>
      <c r="C113" s="108">
        <f t="shared" si="11"/>
        <v>352.07974500000006</v>
      </c>
      <c r="D113" s="1">
        <v>1030.4000000000001</v>
      </c>
      <c r="E113" s="1">
        <f t="shared" si="12"/>
        <v>111.60714285714286</v>
      </c>
      <c r="F113" s="1">
        <v>8.9599999999999992E-3</v>
      </c>
      <c r="G113" s="1">
        <v>277.61</v>
      </c>
      <c r="H113" s="1">
        <v>417.55</v>
      </c>
      <c r="I113" s="1">
        <v>1.2504</v>
      </c>
      <c r="J113" s="1">
        <v>1.6705000000000001</v>
      </c>
      <c r="K113" s="1">
        <v>1.5389999999999999</v>
      </c>
      <c r="L113" s="1">
        <v>1.2869999999999999</v>
      </c>
      <c r="M113" s="1">
        <v>1.7549999999999999</v>
      </c>
      <c r="N113" s="1">
        <v>364</v>
      </c>
      <c r="O113" s="1">
        <v>147.69999999999999</v>
      </c>
      <c r="P113" s="1">
        <v>107.6</v>
      </c>
      <c r="Q113" s="1">
        <v>14.98</v>
      </c>
      <c r="R113" s="1">
        <v>67.599999999999994</v>
      </c>
      <c r="S113" s="1">
        <v>16.36</v>
      </c>
      <c r="T113" s="1">
        <v>3.51</v>
      </c>
      <c r="U113" s="1">
        <v>60</v>
      </c>
      <c r="Y113" t="s">
        <v>487</v>
      </c>
      <c r="Z113" t="s">
        <v>489</v>
      </c>
      <c r="AA113">
        <v>-18</v>
      </c>
      <c r="AB113">
        <v>287</v>
      </c>
      <c r="AC113">
        <v>287</v>
      </c>
      <c r="AD113">
        <f>(AC113-AB113)/AC113</f>
        <v>0</v>
      </c>
    </row>
    <row r="114" spans="1:30">
      <c r="A114" s="108">
        <v>65</v>
      </c>
      <c r="B114" s="1">
        <v>2.7012</v>
      </c>
      <c r="C114" s="108">
        <f t="shared" si="11"/>
        <v>391.77664560000005</v>
      </c>
      <c r="D114" s="1">
        <v>1001.4</v>
      </c>
      <c r="E114" s="1">
        <f t="shared" si="12"/>
        <v>127.38853503184714</v>
      </c>
      <c r="F114" s="1">
        <v>7.8499999999999993E-3</v>
      </c>
      <c r="G114" s="1">
        <v>285.18</v>
      </c>
      <c r="H114" s="1">
        <v>417.06</v>
      </c>
      <c r="I114" s="1">
        <v>1.2722</v>
      </c>
      <c r="J114" s="1">
        <v>1.6621999999999999</v>
      </c>
      <c r="K114" s="1">
        <v>1.6259999999999999</v>
      </c>
      <c r="L114" s="1">
        <v>1.413</v>
      </c>
      <c r="M114" s="1">
        <v>1.881</v>
      </c>
      <c r="N114" s="1">
        <v>337</v>
      </c>
      <c r="O114" s="1">
        <v>144.9</v>
      </c>
      <c r="P114" s="1">
        <v>100</v>
      </c>
      <c r="Q114" s="1">
        <v>15.46</v>
      </c>
      <c r="R114" s="1">
        <v>65.3</v>
      </c>
      <c r="S114" s="1">
        <v>17.61</v>
      </c>
      <c r="T114" s="1">
        <v>2.92</v>
      </c>
      <c r="U114" s="1">
        <v>65</v>
      </c>
      <c r="Y114" t="s">
        <v>488</v>
      </c>
      <c r="Z114" t="s">
        <v>490</v>
      </c>
      <c r="AA114">
        <v>-20</v>
      </c>
      <c r="AB114">
        <f>(10000/27)/3.412</f>
        <v>108.54934653293388</v>
      </c>
      <c r="AC114">
        <v>109</v>
      </c>
      <c r="AD114">
        <f>(AC114-AB114)/AC114</f>
        <v>4.1344354776708088E-3</v>
      </c>
    </row>
    <row r="115" spans="1:30">
      <c r="A115" s="108">
        <v>70</v>
      </c>
      <c r="B115" s="1">
        <v>2.9973999999999998</v>
      </c>
      <c r="C115" s="108">
        <f t="shared" si="11"/>
        <v>434.73690120000003</v>
      </c>
      <c r="D115" s="1">
        <v>969.7</v>
      </c>
      <c r="E115" s="1">
        <f t="shared" si="12"/>
        <v>145.98540145985402</v>
      </c>
      <c r="F115" s="1">
        <v>6.8500000000000002E-3</v>
      </c>
      <c r="G115" s="1">
        <v>293.10000000000002</v>
      </c>
      <c r="H115" s="1">
        <v>416.09</v>
      </c>
      <c r="I115" s="1">
        <v>1.2945</v>
      </c>
      <c r="J115" s="1">
        <v>1.6529</v>
      </c>
      <c r="K115" s="1">
        <v>1.7430000000000001</v>
      </c>
      <c r="L115" s="1">
        <v>1.5840000000000001</v>
      </c>
      <c r="M115" s="1">
        <v>2.056</v>
      </c>
      <c r="N115" s="1">
        <v>309</v>
      </c>
      <c r="O115" s="1">
        <v>141.69999999999999</v>
      </c>
      <c r="P115" s="1">
        <v>92.4</v>
      </c>
      <c r="Q115" s="1">
        <v>16.02</v>
      </c>
      <c r="R115" s="1">
        <v>62.9</v>
      </c>
      <c r="S115" s="1">
        <v>19.16</v>
      </c>
      <c r="T115" s="1">
        <v>2.36</v>
      </c>
      <c r="U115" s="1">
        <v>70</v>
      </c>
      <c r="Y115" t="s">
        <v>488</v>
      </c>
      <c r="Z115" t="s">
        <v>491</v>
      </c>
      <c r="AA115">
        <v>-20</v>
      </c>
      <c r="AB115">
        <f>(10000/27)/3.412</f>
        <v>108.54934653293388</v>
      </c>
      <c r="AC115">
        <v>109</v>
      </c>
      <c r="AD115">
        <f>(AC115-AB115)/AC115</f>
        <v>4.1344354776708088E-3</v>
      </c>
    </row>
    <row r="116" spans="1:30">
      <c r="A116" s="108">
        <v>75</v>
      </c>
      <c r="B116" s="1">
        <v>3.3176999999999999</v>
      </c>
      <c r="C116" s="108">
        <f t="shared" ref="C116:C121" si="13">B116*145.038</f>
        <v>481.19257260000001</v>
      </c>
      <c r="D116" s="1">
        <v>934.4</v>
      </c>
      <c r="E116" s="1">
        <f t="shared" ref="E116:E121" si="14">1/F116</f>
        <v>168.0672268907563</v>
      </c>
      <c r="F116" s="1">
        <v>5.9500000000000004E-3</v>
      </c>
      <c r="G116" s="1">
        <v>301.45999999999998</v>
      </c>
      <c r="H116" s="1">
        <v>414.49</v>
      </c>
      <c r="I116" s="1">
        <v>1.3177000000000001</v>
      </c>
      <c r="J116" s="1">
        <v>1.6424000000000001</v>
      </c>
      <c r="K116" s="1">
        <v>1.913</v>
      </c>
      <c r="L116" s="1">
        <v>1.8320000000000001</v>
      </c>
      <c r="M116" s="1">
        <v>2.3149999999999999</v>
      </c>
      <c r="N116" s="1">
        <v>280</v>
      </c>
      <c r="O116" s="1">
        <v>138.1</v>
      </c>
      <c r="P116" s="1">
        <v>84.6</v>
      </c>
      <c r="Q116" s="1">
        <v>16.7</v>
      </c>
      <c r="R116" s="1">
        <v>60.6</v>
      </c>
      <c r="S116" s="1">
        <v>21.16</v>
      </c>
      <c r="T116" s="1">
        <v>1.82</v>
      </c>
      <c r="U116" s="1">
        <v>75</v>
      </c>
      <c r="Y116" t="s">
        <v>488</v>
      </c>
      <c r="Z116" t="s">
        <v>489</v>
      </c>
      <c r="AA116">
        <v>-18</v>
      </c>
      <c r="AB116">
        <f>(10000/27)/3.412</f>
        <v>108.54934653293388</v>
      </c>
      <c r="AC116">
        <v>109</v>
      </c>
      <c r="AD116">
        <f>(AC116-AB116)/AC116</f>
        <v>4.1344354776708088E-3</v>
      </c>
    </row>
    <row r="117" spans="1:30">
      <c r="A117" s="108">
        <v>80</v>
      </c>
      <c r="B117" s="1">
        <v>3.6638000000000002</v>
      </c>
      <c r="C117" s="108">
        <f t="shared" si="13"/>
        <v>531.39022440000008</v>
      </c>
      <c r="D117" s="1">
        <v>893.7</v>
      </c>
      <c r="E117" s="1">
        <f t="shared" si="14"/>
        <v>195.31249999999997</v>
      </c>
      <c r="F117" s="1">
        <v>5.1200000000000004E-3</v>
      </c>
      <c r="G117" s="1">
        <v>310.44</v>
      </c>
      <c r="H117" s="1">
        <v>412.01</v>
      </c>
      <c r="I117" s="1">
        <v>1.3423</v>
      </c>
      <c r="J117" s="1">
        <v>1.6298999999999999</v>
      </c>
      <c r="K117" s="1">
        <v>2.181</v>
      </c>
      <c r="L117" s="1">
        <v>2.2309999999999999</v>
      </c>
      <c r="M117" s="1">
        <v>2.7349999999999999</v>
      </c>
      <c r="N117" s="1">
        <v>249</v>
      </c>
      <c r="O117" s="1">
        <v>134.19999999999999</v>
      </c>
      <c r="P117" s="1">
        <v>76.599999999999994</v>
      </c>
      <c r="Q117" s="1">
        <v>17.55</v>
      </c>
      <c r="R117" s="1">
        <v>58.6</v>
      </c>
      <c r="S117" s="1">
        <v>23.87</v>
      </c>
      <c r="T117" s="1">
        <v>1.3</v>
      </c>
      <c r="U117" s="1">
        <v>80</v>
      </c>
    </row>
    <row r="118" spans="1:30">
      <c r="A118" s="108">
        <v>85</v>
      </c>
      <c r="B118" s="1">
        <v>4.0377999999999998</v>
      </c>
      <c r="C118" s="108">
        <f t="shared" si="13"/>
        <v>585.63443640000003</v>
      </c>
      <c r="D118" s="1">
        <v>844.8</v>
      </c>
      <c r="E118" s="1">
        <f t="shared" si="14"/>
        <v>230.41474654377879</v>
      </c>
      <c r="F118" s="1">
        <v>4.3400000000000001E-3</v>
      </c>
      <c r="G118" s="1">
        <v>320.38</v>
      </c>
      <c r="H118" s="1">
        <v>408.19</v>
      </c>
      <c r="I118" s="1">
        <v>1.369</v>
      </c>
      <c r="J118" s="1">
        <v>1.6142000000000001</v>
      </c>
      <c r="K118" s="1">
        <v>2.6819999999999999</v>
      </c>
      <c r="L118" s="1">
        <v>2.984</v>
      </c>
      <c r="M118" s="1">
        <v>3.532</v>
      </c>
      <c r="N118" s="1">
        <v>215</v>
      </c>
      <c r="O118" s="1">
        <v>129.69999999999999</v>
      </c>
      <c r="P118" s="1">
        <v>68.099999999999994</v>
      </c>
      <c r="Q118" s="1">
        <v>18.71</v>
      </c>
      <c r="R118" s="1">
        <v>57.4</v>
      </c>
      <c r="S118" s="1">
        <v>27.82</v>
      </c>
      <c r="T118" s="1">
        <v>0.83</v>
      </c>
      <c r="U118" s="1">
        <v>85</v>
      </c>
    </row>
    <row r="119" spans="1:30">
      <c r="A119" s="108">
        <v>90</v>
      </c>
      <c r="B119" s="1">
        <v>4.4423000000000004</v>
      </c>
      <c r="C119" s="108">
        <f t="shared" si="13"/>
        <v>644.30230740000013</v>
      </c>
      <c r="D119" s="1">
        <v>780.1</v>
      </c>
      <c r="E119" s="1">
        <f t="shared" si="14"/>
        <v>280.89887640449439</v>
      </c>
      <c r="F119" s="1">
        <v>3.5599999999999998E-3</v>
      </c>
      <c r="G119" s="1">
        <v>332.09</v>
      </c>
      <c r="H119" s="1">
        <v>401.87</v>
      </c>
      <c r="I119" s="1">
        <v>1.4000999999999999</v>
      </c>
      <c r="J119" s="1">
        <v>1.5922000000000001</v>
      </c>
      <c r="K119" s="1">
        <v>3.9809999999999999</v>
      </c>
      <c r="L119" s="1">
        <v>4.9749999999999996</v>
      </c>
      <c r="M119" s="1">
        <v>5.6260000000000003</v>
      </c>
      <c r="N119" s="1">
        <v>177</v>
      </c>
      <c r="O119" s="1">
        <v>124.6</v>
      </c>
      <c r="P119" s="1">
        <v>58.3</v>
      </c>
      <c r="Q119" s="1">
        <v>20.48</v>
      </c>
      <c r="R119" s="1">
        <v>59.3</v>
      </c>
      <c r="S119" s="1">
        <v>34.549999999999997</v>
      </c>
      <c r="T119" s="1">
        <v>0.4</v>
      </c>
      <c r="U119" s="1">
        <v>90</v>
      </c>
    </row>
    <row r="120" spans="1:30">
      <c r="A120" s="108">
        <v>95</v>
      </c>
      <c r="B120" s="1">
        <v>4.8823999999999996</v>
      </c>
      <c r="C120" s="108">
        <f t="shared" si="13"/>
        <v>708.13353119999999</v>
      </c>
      <c r="D120" s="1">
        <v>662.9</v>
      </c>
      <c r="E120" s="1">
        <f t="shared" si="14"/>
        <v>381.67938931297709</v>
      </c>
      <c r="F120" s="1">
        <v>2.6199999999999999E-3</v>
      </c>
      <c r="G120" s="1">
        <v>349.56</v>
      </c>
      <c r="H120" s="1">
        <v>387.28</v>
      </c>
      <c r="I120" s="1">
        <v>1.4461999999999999</v>
      </c>
      <c r="J120" s="1">
        <v>1.5486</v>
      </c>
      <c r="K120" s="1">
        <v>17.309999999999999</v>
      </c>
      <c r="L120" s="1">
        <v>25.29</v>
      </c>
      <c r="M120" s="1">
        <v>26.43</v>
      </c>
      <c r="N120" s="1">
        <v>128</v>
      </c>
      <c r="O120" s="1">
        <v>118</v>
      </c>
      <c r="P120" s="1">
        <v>44.4</v>
      </c>
      <c r="Q120" s="1">
        <v>24.76</v>
      </c>
      <c r="R120" s="1">
        <v>83.5</v>
      </c>
      <c r="S120" s="1">
        <v>59.15</v>
      </c>
      <c r="T120" s="1">
        <v>0.05</v>
      </c>
      <c r="U120" s="1">
        <v>95</v>
      </c>
    </row>
    <row r="121" spans="1:30">
      <c r="A121" s="108">
        <v>96.15</v>
      </c>
      <c r="B121" s="1">
        <v>4.99</v>
      </c>
      <c r="C121" s="108">
        <f t="shared" si="13"/>
        <v>723.73962000000006</v>
      </c>
      <c r="D121" s="1">
        <v>523.79999999999995</v>
      </c>
      <c r="E121" s="1">
        <f t="shared" si="14"/>
        <v>523.56020942408372</v>
      </c>
      <c r="F121" s="1">
        <v>1.91E-3</v>
      </c>
      <c r="G121" s="1">
        <v>366.9</v>
      </c>
      <c r="H121" s="1">
        <v>366.9</v>
      </c>
      <c r="I121" s="1">
        <v>1.4926999999999999</v>
      </c>
      <c r="J121" s="1">
        <v>1.4926999999999999</v>
      </c>
      <c r="K121" s="1" t="s">
        <v>310</v>
      </c>
      <c r="L121" s="1" t="s">
        <v>310</v>
      </c>
      <c r="M121" s="1" t="s">
        <v>310</v>
      </c>
      <c r="N121" s="1">
        <v>0</v>
      </c>
      <c r="O121" s="1">
        <v>0</v>
      </c>
      <c r="P121" s="1" t="s">
        <v>311</v>
      </c>
      <c r="Q121" s="1" t="s">
        <v>311</v>
      </c>
      <c r="R121" s="1" t="s">
        <v>310</v>
      </c>
      <c r="S121" s="1" t="s">
        <v>310</v>
      </c>
      <c r="T121" s="1">
        <v>0</v>
      </c>
      <c r="U121" s="1">
        <v>96.15</v>
      </c>
    </row>
    <row r="122" spans="1:30">
      <c r="A122" s="1"/>
      <c r="B122" s="1"/>
      <c r="C122" s="108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30">
      <c r="A123" s="1"/>
      <c r="B123" s="1"/>
      <c r="C123" s="108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30">
      <c r="A124" s="1"/>
      <c r="B124" s="1"/>
      <c r="C124" s="108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30">
      <c r="A125" s="109" t="s">
        <v>312</v>
      </c>
      <c r="B125" s="110" t="s">
        <v>313</v>
      </c>
      <c r="C125" s="110" t="s">
        <v>331</v>
      </c>
      <c r="D125" s="110" t="s">
        <v>314</v>
      </c>
      <c r="E125" s="110" t="s">
        <v>315</v>
      </c>
      <c r="F125" s="110" t="s">
        <v>332</v>
      </c>
      <c r="G125" s="110" t="s">
        <v>316</v>
      </c>
      <c r="H125" s="110" t="s">
        <v>317</v>
      </c>
      <c r="I125" s="110" t="s">
        <v>318</v>
      </c>
      <c r="J125" s="110" t="s">
        <v>319</v>
      </c>
      <c r="K125" s="110" t="s">
        <v>320</v>
      </c>
      <c r="L125" s="110" t="s">
        <v>321</v>
      </c>
      <c r="M125" s="111" t="s">
        <v>322</v>
      </c>
      <c r="N125" s="110" t="s">
        <v>323</v>
      </c>
      <c r="O125" s="110" t="s">
        <v>324</v>
      </c>
      <c r="P125" s="110" t="s">
        <v>325</v>
      </c>
      <c r="Q125" s="110" t="s">
        <v>326</v>
      </c>
      <c r="R125" s="110" t="s">
        <v>327</v>
      </c>
      <c r="S125" s="110" t="s">
        <v>328</v>
      </c>
      <c r="T125" s="110" t="s">
        <v>329</v>
      </c>
      <c r="U125" s="112" t="s">
        <v>466</v>
      </c>
    </row>
    <row r="126" spans="1:30">
      <c r="A126" s="32">
        <v>-103.3</v>
      </c>
      <c r="B126" s="1">
        <v>3.8999999999999999E-4</v>
      </c>
      <c r="C126" s="108">
        <f t="shared" ref="C126:C189" si="15">B126*145.038</f>
        <v>5.6564820000000002E-2</v>
      </c>
      <c r="D126" s="1">
        <v>1591.1</v>
      </c>
      <c r="E126" s="1">
        <f t="shared" ref="E126:E189" si="16">1/F126</f>
        <v>2.8172188415596121E-2</v>
      </c>
      <c r="F126" s="1">
        <v>35.496000000000002</v>
      </c>
      <c r="G126" s="1">
        <v>71.459999999999994</v>
      </c>
      <c r="H126" s="1">
        <v>334.94</v>
      </c>
      <c r="I126" s="1">
        <v>0.41260000000000002</v>
      </c>
      <c r="J126" s="1">
        <v>1.9639</v>
      </c>
      <c r="K126" s="1">
        <v>1.1839999999999999</v>
      </c>
      <c r="L126" s="1">
        <v>0.58499999999999996</v>
      </c>
      <c r="M126" s="1">
        <v>1.1639999999999999</v>
      </c>
      <c r="N126" s="1">
        <v>1120</v>
      </c>
      <c r="O126" s="1">
        <v>126.8</v>
      </c>
      <c r="P126" s="1">
        <v>2175</v>
      </c>
      <c r="Q126" s="1">
        <v>6.46</v>
      </c>
      <c r="R126" s="1">
        <v>145.19999999999999</v>
      </c>
      <c r="S126" s="1">
        <v>3.08</v>
      </c>
      <c r="T126" s="1">
        <v>28.07</v>
      </c>
      <c r="U126" s="1" t="s">
        <v>528</v>
      </c>
    </row>
    <row r="127" spans="1:30">
      <c r="A127" s="32">
        <v>-100</v>
      </c>
      <c r="B127" s="1">
        <v>5.5999999999999995E-4</v>
      </c>
      <c r="C127" s="108">
        <f t="shared" si="15"/>
        <v>8.1221279999999993E-2</v>
      </c>
      <c r="D127" s="1">
        <v>1582.4</v>
      </c>
      <c r="E127" s="1">
        <f t="shared" si="16"/>
        <v>3.9693565673004402E-2</v>
      </c>
      <c r="F127" s="1">
        <v>25.193000000000001</v>
      </c>
      <c r="G127" s="1">
        <v>75.36</v>
      </c>
      <c r="H127" s="1">
        <v>336.85</v>
      </c>
      <c r="I127" s="1">
        <v>0.43540000000000001</v>
      </c>
      <c r="J127" s="1">
        <v>1.9456</v>
      </c>
      <c r="K127" s="1">
        <v>1.1839999999999999</v>
      </c>
      <c r="L127" s="1">
        <v>0.59299999999999997</v>
      </c>
      <c r="M127" s="1">
        <v>1.1619999999999999</v>
      </c>
      <c r="N127" s="1">
        <v>1103</v>
      </c>
      <c r="O127" s="1">
        <v>127.9</v>
      </c>
      <c r="P127" s="1">
        <v>1893</v>
      </c>
      <c r="Q127" s="1">
        <v>6.6</v>
      </c>
      <c r="R127" s="1">
        <v>143.19999999999999</v>
      </c>
      <c r="S127" s="1">
        <v>3.34</v>
      </c>
      <c r="T127" s="1">
        <v>27.5</v>
      </c>
      <c r="U127" s="1">
        <v>-100</v>
      </c>
    </row>
    <row r="128" spans="1:30">
      <c r="A128" s="32">
        <v>-90</v>
      </c>
      <c r="B128" s="1">
        <v>1.5200000000000001E-3</v>
      </c>
      <c r="C128" s="108">
        <f t="shared" si="15"/>
        <v>0.22045776000000003</v>
      </c>
      <c r="D128" s="1">
        <v>1555.8</v>
      </c>
      <c r="E128" s="1">
        <f t="shared" si="16"/>
        <v>0.10235624065999303</v>
      </c>
      <c r="F128" s="1">
        <v>9.7698</v>
      </c>
      <c r="G128" s="1">
        <v>87.23</v>
      </c>
      <c r="H128" s="1">
        <v>342.76</v>
      </c>
      <c r="I128" s="1">
        <v>0.502</v>
      </c>
      <c r="J128" s="1">
        <v>1.8972</v>
      </c>
      <c r="K128" s="1">
        <v>1.1890000000000001</v>
      </c>
      <c r="L128" s="1">
        <v>0.61699999999999999</v>
      </c>
      <c r="M128" s="1">
        <v>1.1559999999999999</v>
      </c>
      <c r="N128" s="1">
        <v>1052</v>
      </c>
      <c r="O128" s="1">
        <v>131</v>
      </c>
      <c r="P128" s="1">
        <v>1339</v>
      </c>
      <c r="Q128" s="1">
        <v>7.03</v>
      </c>
      <c r="R128" s="1">
        <v>137.30000000000001</v>
      </c>
      <c r="S128" s="1">
        <v>4.1500000000000004</v>
      </c>
      <c r="T128" s="1">
        <v>25.79</v>
      </c>
      <c r="U128" s="1">
        <v>-90</v>
      </c>
    </row>
    <row r="129" spans="1:21">
      <c r="A129" s="32">
        <v>-80</v>
      </c>
      <c r="B129" s="1">
        <v>3.6700000000000001E-3</v>
      </c>
      <c r="C129" s="108">
        <f t="shared" si="15"/>
        <v>0.5322894600000001</v>
      </c>
      <c r="D129" s="1">
        <v>1529</v>
      </c>
      <c r="E129" s="1">
        <f t="shared" si="16"/>
        <v>0.23429080174312356</v>
      </c>
      <c r="F129" s="1">
        <v>4.2682000000000002</v>
      </c>
      <c r="G129" s="1">
        <v>99.16</v>
      </c>
      <c r="H129" s="1">
        <v>348.83</v>
      </c>
      <c r="I129" s="1">
        <v>0.56540000000000001</v>
      </c>
      <c r="J129" s="1">
        <v>1.8580000000000001</v>
      </c>
      <c r="K129" s="1">
        <v>1.198</v>
      </c>
      <c r="L129" s="1">
        <v>0.64200000000000002</v>
      </c>
      <c r="M129" s="1">
        <v>1.151</v>
      </c>
      <c r="N129" s="1">
        <v>1002</v>
      </c>
      <c r="O129" s="1">
        <v>134</v>
      </c>
      <c r="P129" s="1">
        <v>1018</v>
      </c>
      <c r="Q129" s="1">
        <v>7.46</v>
      </c>
      <c r="R129" s="1">
        <v>131.5</v>
      </c>
      <c r="S129" s="1">
        <v>4.95</v>
      </c>
      <c r="T129" s="1">
        <v>24.1</v>
      </c>
      <c r="U129" s="1">
        <v>-80</v>
      </c>
    </row>
    <row r="130" spans="1:21">
      <c r="A130" s="32">
        <v>-70</v>
      </c>
      <c r="B130" s="1">
        <v>7.9799999999999992E-3</v>
      </c>
      <c r="C130" s="108">
        <f t="shared" si="15"/>
        <v>1.1574032400000001</v>
      </c>
      <c r="D130" s="1">
        <v>1501.9</v>
      </c>
      <c r="E130" s="1">
        <f t="shared" si="16"/>
        <v>0.48567265662943171</v>
      </c>
      <c r="F130" s="1">
        <v>2.0590000000000002</v>
      </c>
      <c r="G130" s="1">
        <v>111.2</v>
      </c>
      <c r="H130" s="1">
        <v>355.02</v>
      </c>
      <c r="I130" s="1">
        <v>0.62619999999999998</v>
      </c>
      <c r="J130" s="1">
        <v>1.8264</v>
      </c>
      <c r="K130" s="1">
        <v>1.21</v>
      </c>
      <c r="L130" s="1">
        <v>0.66700000000000004</v>
      </c>
      <c r="M130" s="1">
        <v>1.1479999999999999</v>
      </c>
      <c r="N130" s="1">
        <v>952</v>
      </c>
      <c r="O130" s="1">
        <v>136.80000000000001</v>
      </c>
      <c r="P130" s="1">
        <v>809.2</v>
      </c>
      <c r="Q130" s="1">
        <v>7.89</v>
      </c>
      <c r="R130" s="1">
        <v>126</v>
      </c>
      <c r="S130" s="1">
        <v>5.75</v>
      </c>
      <c r="T130" s="1">
        <v>22.44</v>
      </c>
      <c r="U130" s="1">
        <v>-70</v>
      </c>
    </row>
    <row r="131" spans="1:21">
      <c r="A131" s="32">
        <v>-60</v>
      </c>
      <c r="B131" s="1">
        <v>1.5910000000000001E-2</v>
      </c>
      <c r="C131" s="108">
        <f t="shared" si="15"/>
        <v>2.3075545800000001</v>
      </c>
      <c r="D131" s="1">
        <v>1474.3</v>
      </c>
      <c r="E131" s="1">
        <f t="shared" si="16"/>
        <v>0.92678405931417984</v>
      </c>
      <c r="F131" s="1">
        <v>1.079</v>
      </c>
      <c r="G131" s="1">
        <v>123.36</v>
      </c>
      <c r="H131" s="1">
        <v>361.31</v>
      </c>
      <c r="I131" s="1">
        <v>0.68459999999999999</v>
      </c>
      <c r="J131" s="1">
        <v>1.8009999999999999</v>
      </c>
      <c r="K131" s="1">
        <v>1.2230000000000001</v>
      </c>
      <c r="L131" s="1">
        <v>0.69199999999999995</v>
      </c>
      <c r="M131" s="1">
        <v>1.1459999999999999</v>
      </c>
      <c r="N131" s="1">
        <v>903</v>
      </c>
      <c r="O131" s="1">
        <v>139.4</v>
      </c>
      <c r="P131" s="1">
        <v>663.1</v>
      </c>
      <c r="Q131" s="1">
        <v>8.3000000000000007</v>
      </c>
      <c r="R131" s="1">
        <v>120.7</v>
      </c>
      <c r="S131" s="1">
        <v>6.56</v>
      </c>
      <c r="T131" s="1">
        <v>20.8</v>
      </c>
      <c r="U131" s="1">
        <v>-60</v>
      </c>
    </row>
    <row r="132" spans="1:21">
      <c r="A132" s="32">
        <v>-50</v>
      </c>
      <c r="B132" s="1">
        <v>2.945E-2</v>
      </c>
      <c r="C132" s="108">
        <f t="shared" si="15"/>
        <v>4.2713691000000003</v>
      </c>
      <c r="D132" s="1">
        <v>1446.3</v>
      </c>
      <c r="E132" s="1">
        <f t="shared" si="16"/>
        <v>1.6496205872649292</v>
      </c>
      <c r="F132" s="1">
        <v>0.60619999999999996</v>
      </c>
      <c r="G132" s="1">
        <v>135.66999999999999</v>
      </c>
      <c r="H132" s="1">
        <v>367.65</v>
      </c>
      <c r="I132" s="1">
        <v>0.74099999999999999</v>
      </c>
      <c r="J132" s="1">
        <v>1.7806</v>
      </c>
      <c r="K132" s="1">
        <v>1.238</v>
      </c>
      <c r="L132" s="1">
        <v>0.72</v>
      </c>
      <c r="M132" s="1">
        <v>1.1459999999999999</v>
      </c>
      <c r="N132" s="1">
        <v>855</v>
      </c>
      <c r="O132" s="1">
        <v>141.69999999999999</v>
      </c>
      <c r="P132" s="1">
        <v>555.1</v>
      </c>
      <c r="Q132" s="1">
        <v>8.7200000000000006</v>
      </c>
      <c r="R132" s="1">
        <v>115.6</v>
      </c>
      <c r="S132" s="1">
        <v>7.36</v>
      </c>
      <c r="T132" s="1">
        <v>19.18</v>
      </c>
      <c r="U132" s="1">
        <v>-50</v>
      </c>
    </row>
    <row r="133" spans="1:21">
      <c r="A133" s="32">
        <v>-40</v>
      </c>
      <c r="B133" s="1">
        <v>5.1209999999999999E-2</v>
      </c>
      <c r="C133" s="108">
        <f t="shared" si="15"/>
        <v>7.42739598</v>
      </c>
      <c r="D133" s="1">
        <v>1417.7</v>
      </c>
      <c r="E133" s="1">
        <f t="shared" si="16"/>
        <v>2.7694693696687716</v>
      </c>
      <c r="F133" s="1">
        <v>0.36108000000000001</v>
      </c>
      <c r="G133" s="1">
        <v>148.13999999999999</v>
      </c>
      <c r="H133" s="1">
        <v>374</v>
      </c>
      <c r="I133" s="1">
        <v>0.79559999999999997</v>
      </c>
      <c r="J133" s="1">
        <v>1.7643</v>
      </c>
      <c r="K133" s="1">
        <v>1.2549999999999999</v>
      </c>
      <c r="L133" s="1">
        <v>0.749</v>
      </c>
      <c r="M133" s="1">
        <v>1.1479999999999999</v>
      </c>
      <c r="N133" s="1">
        <v>807</v>
      </c>
      <c r="O133" s="1">
        <v>143.6</v>
      </c>
      <c r="P133" s="1">
        <v>472.2</v>
      </c>
      <c r="Q133" s="1">
        <v>9.1199999999999992</v>
      </c>
      <c r="R133" s="1">
        <v>110.6</v>
      </c>
      <c r="S133" s="1">
        <v>8.17</v>
      </c>
      <c r="T133" s="1">
        <v>17.600000000000001</v>
      </c>
      <c r="U133" s="1">
        <v>-40</v>
      </c>
    </row>
    <row r="134" spans="1:21">
      <c r="A134" s="32">
        <v>-30</v>
      </c>
      <c r="B134" s="1">
        <v>8.4379999999999997E-2</v>
      </c>
      <c r="C134" s="108">
        <f t="shared" si="15"/>
        <v>12.238306440000001</v>
      </c>
      <c r="D134" s="1">
        <v>1388.4</v>
      </c>
      <c r="E134" s="1">
        <f t="shared" si="16"/>
        <v>4.4259537930424004</v>
      </c>
      <c r="F134" s="1">
        <v>0.22594</v>
      </c>
      <c r="G134" s="1">
        <v>160.79</v>
      </c>
      <c r="H134" s="1">
        <v>380.32</v>
      </c>
      <c r="I134" s="1">
        <v>0.84860000000000002</v>
      </c>
      <c r="J134" s="1">
        <v>1.7515000000000001</v>
      </c>
      <c r="K134" s="1">
        <v>1.2729999999999999</v>
      </c>
      <c r="L134" s="1">
        <v>0.78100000000000003</v>
      </c>
      <c r="M134" s="1">
        <v>1.1519999999999999</v>
      </c>
      <c r="N134" s="1">
        <v>760</v>
      </c>
      <c r="O134" s="1">
        <v>145.19999999999999</v>
      </c>
      <c r="P134" s="1">
        <v>406.4</v>
      </c>
      <c r="Q134" s="1">
        <v>9.52</v>
      </c>
      <c r="R134" s="1">
        <v>105.8</v>
      </c>
      <c r="S134" s="1">
        <v>8.99</v>
      </c>
      <c r="T134" s="1">
        <v>16.04</v>
      </c>
      <c r="U134" s="1">
        <v>-30</v>
      </c>
    </row>
    <row r="135" spans="1:21">
      <c r="A135" s="32">
        <v>-28</v>
      </c>
      <c r="B135" s="1">
        <v>9.2700000000000005E-2</v>
      </c>
      <c r="C135" s="108">
        <f t="shared" si="15"/>
        <v>13.445022600000001</v>
      </c>
      <c r="D135" s="1">
        <v>1382.4</v>
      </c>
      <c r="E135" s="1">
        <f t="shared" si="16"/>
        <v>4.8355899419729207</v>
      </c>
      <c r="F135" s="1">
        <v>0.20680000000000001</v>
      </c>
      <c r="G135" s="1">
        <v>163.34</v>
      </c>
      <c r="H135" s="1">
        <v>381.57</v>
      </c>
      <c r="I135" s="1">
        <v>0.85909999999999997</v>
      </c>
      <c r="J135" s="1">
        <v>1.7492000000000001</v>
      </c>
      <c r="K135" s="1">
        <v>1.2769999999999999</v>
      </c>
      <c r="L135" s="1">
        <v>0.78800000000000003</v>
      </c>
      <c r="M135" s="1">
        <v>1.153</v>
      </c>
      <c r="N135" s="1">
        <v>751</v>
      </c>
      <c r="O135" s="1">
        <v>145.4</v>
      </c>
      <c r="P135" s="1">
        <v>394.9</v>
      </c>
      <c r="Q135" s="1">
        <v>9.6</v>
      </c>
      <c r="R135" s="1">
        <v>104.8</v>
      </c>
      <c r="S135" s="1">
        <v>9.15</v>
      </c>
      <c r="T135" s="1">
        <v>15.73</v>
      </c>
      <c r="U135" s="1">
        <v>-28</v>
      </c>
    </row>
    <row r="136" spans="1:21">
      <c r="A136" s="32">
        <v>-26.07</v>
      </c>
      <c r="B136" s="1">
        <v>0.10133</v>
      </c>
      <c r="C136" s="108">
        <f t="shared" si="15"/>
        <v>14.696700540000002</v>
      </c>
      <c r="D136" s="1">
        <v>1376.7</v>
      </c>
      <c r="E136" s="1">
        <f t="shared" si="16"/>
        <v>5.2581764644021458</v>
      </c>
      <c r="F136" s="1">
        <v>0.19017999999999999</v>
      </c>
      <c r="G136" s="1">
        <v>165.81</v>
      </c>
      <c r="H136" s="1">
        <v>382.78</v>
      </c>
      <c r="I136" s="1">
        <v>0.86899999999999999</v>
      </c>
      <c r="J136" s="1">
        <v>1.7472000000000001</v>
      </c>
      <c r="K136" s="1">
        <v>1.2809999999999999</v>
      </c>
      <c r="L136" s="1">
        <v>0.79400000000000004</v>
      </c>
      <c r="M136" s="1">
        <v>1.1539999999999999</v>
      </c>
      <c r="N136" s="1">
        <v>742</v>
      </c>
      <c r="O136" s="1">
        <v>145.69999999999999</v>
      </c>
      <c r="P136" s="1">
        <v>384.2</v>
      </c>
      <c r="Q136" s="1">
        <v>9.68</v>
      </c>
      <c r="R136" s="1">
        <v>103.9</v>
      </c>
      <c r="S136" s="1">
        <v>9.31</v>
      </c>
      <c r="T136" s="1">
        <v>15.44</v>
      </c>
      <c r="U136" s="1" t="s">
        <v>529</v>
      </c>
    </row>
    <row r="137" spans="1:21">
      <c r="A137" s="32">
        <v>-26</v>
      </c>
      <c r="B137" s="1">
        <v>0.10167</v>
      </c>
      <c r="C137" s="108">
        <f t="shared" si="15"/>
        <v>14.74601346</v>
      </c>
      <c r="D137" s="1">
        <v>1376.5</v>
      </c>
      <c r="E137" s="1">
        <f t="shared" si="16"/>
        <v>5.274818018778352</v>
      </c>
      <c r="F137" s="1">
        <v>0.18958</v>
      </c>
      <c r="G137" s="1">
        <v>165.9</v>
      </c>
      <c r="H137" s="1">
        <v>382.82</v>
      </c>
      <c r="I137" s="1">
        <v>0.86939999999999995</v>
      </c>
      <c r="J137" s="1">
        <v>1.7471000000000001</v>
      </c>
      <c r="K137" s="1">
        <v>1.2809999999999999</v>
      </c>
      <c r="L137" s="1">
        <v>0.79400000000000004</v>
      </c>
      <c r="M137" s="1">
        <v>1.1539999999999999</v>
      </c>
      <c r="N137" s="1">
        <v>742</v>
      </c>
      <c r="O137" s="1">
        <v>145.69999999999999</v>
      </c>
      <c r="P137" s="1">
        <v>383.8</v>
      </c>
      <c r="Q137" s="1">
        <v>9.68</v>
      </c>
      <c r="R137" s="1">
        <v>103.9</v>
      </c>
      <c r="S137" s="1">
        <v>9.32</v>
      </c>
      <c r="T137" s="1">
        <v>15.43</v>
      </c>
      <c r="U137" s="1">
        <v>-26</v>
      </c>
    </row>
    <row r="138" spans="1:21">
      <c r="A138" s="32">
        <v>-24</v>
      </c>
      <c r="B138" s="1">
        <v>0.1113</v>
      </c>
      <c r="C138" s="108">
        <f t="shared" si="15"/>
        <v>16.1427294</v>
      </c>
      <c r="D138" s="1">
        <v>1370.4</v>
      </c>
      <c r="E138" s="1">
        <f t="shared" si="16"/>
        <v>5.7448153041879699</v>
      </c>
      <c r="F138" s="1">
        <v>0.17407</v>
      </c>
      <c r="G138" s="1">
        <v>168.47</v>
      </c>
      <c r="H138" s="1">
        <v>384.07</v>
      </c>
      <c r="I138" s="1">
        <v>0.87980000000000003</v>
      </c>
      <c r="J138" s="1">
        <v>1.7451000000000001</v>
      </c>
      <c r="K138" s="1">
        <v>1.2849999999999999</v>
      </c>
      <c r="L138" s="1">
        <v>0.80100000000000005</v>
      </c>
      <c r="M138" s="1">
        <v>1.155</v>
      </c>
      <c r="N138" s="1">
        <v>732</v>
      </c>
      <c r="O138" s="1">
        <v>145.9</v>
      </c>
      <c r="P138" s="1">
        <v>373.1</v>
      </c>
      <c r="Q138" s="1">
        <v>9.77</v>
      </c>
      <c r="R138" s="1">
        <v>102.9</v>
      </c>
      <c r="S138" s="1">
        <v>9.48</v>
      </c>
      <c r="T138" s="1">
        <v>15.12</v>
      </c>
      <c r="U138" s="1">
        <v>-24</v>
      </c>
    </row>
    <row r="139" spans="1:21">
      <c r="A139" s="32">
        <v>-22</v>
      </c>
      <c r="B139" s="1">
        <v>0.12164999999999999</v>
      </c>
      <c r="C139" s="108">
        <f t="shared" si="15"/>
        <v>17.643872699999999</v>
      </c>
      <c r="D139" s="1">
        <v>1364.4</v>
      </c>
      <c r="E139" s="1">
        <f t="shared" si="16"/>
        <v>6.2476571285767832</v>
      </c>
      <c r="F139" s="1">
        <v>0.16006000000000001</v>
      </c>
      <c r="G139" s="1">
        <v>171.05</v>
      </c>
      <c r="H139" s="1">
        <v>385.32</v>
      </c>
      <c r="I139" s="1">
        <v>0.89</v>
      </c>
      <c r="J139" s="1">
        <v>1.7432000000000001</v>
      </c>
      <c r="K139" s="1">
        <v>1.2889999999999999</v>
      </c>
      <c r="L139" s="1">
        <v>0.80900000000000005</v>
      </c>
      <c r="M139" s="1">
        <v>1.1559999999999999</v>
      </c>
      <c r="N139" s="1">
        <v>723</v>
      </c>
      <c r="O139" s="1">
        <v>146.1</v>
      </c>
      <c r="P139" s="1">
        <v>362.9</v>
      </c>
      <c r="Q139" s="1">
        <v>9.85</v>
      </c>
      <c r="R139" s="1">
        <v>102</v>
      </c>
      <c r="S139" s="1">
        <v>9.65</v>
      </c>
      <c r="T139" s="1">
        <v>14.82</v>
      </c>
      <c r="U139" s="1">
        <v>-22</v>
      </c>
    </row>
    <row r="140" spans="1:21">
      <c r="A140" s="32">
        <v>-20</v>
      </c>
      <c r="B140" s="1">
        <v>0.13272999999999999</v>
      </c>
      <c r="C140" s="108">
        <f t="shared" si="15"/>
        <v>19.250893739999999</v>
      </c>
      <c r="D140" s="1">
        <v>1358.3</v>
      </c>
      <c r="E140" s="1">
        <f t="shared" si="16"/>
        <v>6.7847208087387205</v>
      </c>
      <c r="F140" s="1">
        <v>0.14738999999999999</v>
      </c>
      <c r="G140" s="1">
        <v>173.64</v>
      </c>
      <c r="H140" s="1">
        <v>386.55</v>
      </c>
      <c r="I140" s="1">
        <v>0.9002</v>
      </c>
      <c r="J140" s="1">
        <v>1.7413000000000001</v>
      </c>
      <c r="K140" s="1">
        <v>1.2929999999999999</v>
      </c>
      <c r="L140" s="1">
        <v>0.81599999999999995</v>
      </c>
      <c r="M140" s="1">
        <v>1.1579999999999999</v>
      </c>
      <c r="N140" s="1">
        <v>714</v>
      </c>
      <c r="O140" s="1">
        <v>146.30000000000001</v>
      </c>
      <c r="P140" s="1">
        <v>353</v>
      </c>
      <c r="Q140" s="1">
        <v>9.92</v>
      </c>
      <c r="R140" s="1">
        <v>101.1</v>
      </c>
      <c r="S140" s="1">
        <v>9.82</v>
      </c>
      <c r="T140" s="1">
        <v>14.51</v>
      </c>
      <c r="U140" s="1">
        <v>-20</v>
      </c>
    </row>
    <row r="141" spans="1:21">
      <c r="A141" s="32">
        <v>-18</v>
      </c>
      <c r="B141" s="1">
        <v>0.14460000000000001</v>
      </c>
      <c r="C141" s="108">
        <f t="shared" si="15"/>
        <v>20.972494800000003</v>
      </c>
      <c r="D141" s="1">
        <v>1352.1</v>
      </c>
      <c r="E141" s="1">
        <f t="shared" si="16"/>
        <v>7.3572689817539718</v>
      </c>
      <c r="F141" s="1">
        <v>0.13592000000000001</v>
      </c>
      <c r="G141" s="1">
        <v>176.23</v>
      </c>
      <c r="H141" s="1">
        <v>387.79</v>
      </c>
      <c r="I141" s="1">
        <v>0.91039999999999999</v>
      </c>
      <c r="J141" s="1">
        <v>1.7396</v>
      </c>
      <c r="K141" s="1">
        <v>1.2969999999999999</v>
      </c>
      <c r="L141" s="1">
        <v>0.82299999999999995</v>
      </c>
      <c r="M141" s="1">
        <v>1.159</v>
      </c>
      <c r="N141" s="1">
        <v>705</v>
      </c>
      <c r="O141" s="1">
        <v>146.4</v>
      </c>
      <c r="P141" s="1">
        <v>343.5</v>
      </c>
      <c r="Q141" s="1">
        <v>10.01</v>
      </c>
      <c r="R141" s="1">
        <v>100.1</v>
      </c>
      <c r="S141" s="1">
        <v>9.98</v>
      </c>
      <c r="T141" s="1">
        <v>14.21</v>
      </c>
      <c r="U141" s="1">
        <v>-18</v>
      </c>
    </row>
    <row r="142" spans="1:21">
      <c r="A142" s="32">
        <v>-16</v>
      </c>
      <c r="B142" s="1">
        <v>0.15728</v>
      </c>
      <c r="C142" s="108">
        <f t="shared" si="15"/>
        <v>22.811576640000002</v>
      </c>
      <c r="D142" s="1">
        <v>1345.9</v>
      </c>
      <c r="E142" s="1">
        <f t="shared" si="16"/>
        <v>7.9674926300693167</v>
      </c>
      <c r="F142" s="1">
        <v>0.12551000000000001</v>
      </c>
      <c r="G142" s="1">
        <v>178.83</v>
      </c>
      <c r="H142" s="1">
        <v>389.02</v>
      </c>
      <c r="I142" s="1">
        <v>0.92049999999999998</v>
      </c>
      <c r="J142" s="1">
        <v>1.7379</v>
      </c>
      <c r="K142" s="1">
        <v>1.302</v>
      </c>
      <c r="L142" s="1">
        <v>0.83099999999999996</v>
      </c>
      <c r="M142" s="1">
        <v>1.161</v>
      </c>
      <c r="N142" s="1">
        <v>695</v>
      </c>
      <c r="O142" s="1">
        <v>146.6</v>
      </c>
      <c r="P142" s="1">
        <v>334.3</v>
      </c>
      <c r="Q142" s="1">
        <v>10.09</v>
      </c>
      <c r="R142" s="1">
        <v>99.2</v>
      </c>
      <c r="S142" s="1">
        <v>10.15</v>
      </c>
      <c r="T142" s="1">
        <v>13.91</v>
      </c>
      <c r="U142" s="1">
        <v>-16</v>
      </c>
    </row>
    <row r="143" spans="1:21">
      <c r="A143" s="32">
        <v>-14</v>
      </c>
      <c r="B143" s="1">
        <v>0.17082</v>
      </c>
      <c r="C143" s="108">
        <f t="shared" si="15"/>
        <v>24.775391160000002</v>
      </c>
      <c r="D143" s="1">
        <v>1339.7</v>
      </c>
      <c r="E143" s="1">
        <f t="shared" si="16"/>
        <v>8.6169754416199922</v>
      </c>
      <c r="F143" s="1">
        <v>0.11605</v>
      </c>
      <c r="G143" s="1">
        <v>181.44</v>
      </c>
      <c r="H143" s="1">
        <v>390.24</v>
      </c>
      <c r="I143" s="1">
        <v>0.93059999999999998</v>
      </c>
      <c r="J143" s="1">
        <v>1.7363</v>
      </c>
      <c r="K143" s="1">
        <v>1.306</v>
      </c>
      <c r="L143" s="1">
        <v>0.83799999999999997</v>
      </c>
      <c r="M143" s="1">
        <v>1.163</v>
      </c>
      <c r="N143" s="1">
        <v>686</v>
      </c>
      <c r="O143" s="1">
        <v>146.69999999999999</v>
      </c>
      <c r="P143" s="1">
        <v>325.39999999999998</v>
      </c>
      <c r="Q143" s="1">
        <v>10.17</v>
      </c>
      <c r="R143" s="1">
        <v>98.3</v>
      </c>
      <c r="S143" s="1">
        <v>10.32</v>
      </c>
      <c r="T143" s="1">
        <v>13.61</v>
      </c>
      <c r="U143" s="1">
        <v>-14</v>
      </c>
    </row>
    <row r="144" spans="1:21">
      <c r="A144" s="32">
        <v>-12</v>
      </c>
      <c r="B144" s="1">
        <v>0.18523999999999999</v>
      </c>
      <c r="C144" s="108">
        <f t="shared" si="15"/>
        <v>26.866839120000002</v>
      </c>
      <c r="D144" s="1">
        <v>1333.4</v>
      </c>
      <c r="E144" s="1">
        <f t="shared" si="16"/>
        <v>9.307520476545049</v>
      </c>
      <c r="F144" s="1">
        <v>0.10743999999999999</v>
      </c>
      <c r="G144" s="1">
        <v>184.07</v>
      </c>
      <c r="H144" s="1">
        <v>391.46</v>
      </c>
      <c r="I144" s="1">
        <v>0.94069999999999998</v>
      </c>
      <c r="J144" s="1">
        <v>1.7347999999999999</v>
      </c>
      <c r="K144" s="1">
        <v>1.3109999999999999</v>
      </c>
      <c r="L144" s="1">
        <v>0.84599999999999997</v>
      </c>
      <c r="M144" s="1">
        <v>1.165</v>
      </c>
      <c r="N144" s="1">
        <v>677</v>
      </c>
      <c r="O144" s="1">
        <v>146.80000000000001</v>
      </c>
      <c r="P144" s="1">
        <v>316.89999999999998</v>
      </c>
      <c r="Q144" s="1">
        <v>10.25</v>
      </c>
      <c r="R144" s="1">
        <v>97.4</v>
      </c>
      <c r="S144" s="1">
        <v>10.49</v>
      </c>
      <c r="T144" s="1">
        <v>13.32</v>
      </c>
      <c r="U144" s="1">
        <v>-12</v>
      </c>
    </row>
    <row r="145" spans="1:21">
      <c r="A145" s="32">
        <v>-10</v>
      </c>
      <c r="B145" s="1">
        <v>0.2006</v>
      </c>
      <c r="C145" s="108">
        <f t="shared" si="15"/>
        <v>29.094622800000003</v>
      </c>
      <c r="D145" s="1">
        <v>1327.1</v>
      </c>
      <c r="E145" s="1">
        <f t="shared" si="16"/>
        <v>10.041168792047394</v>
      </c>
      <c r="F145" s="1">
        <v>9.9589999999999998E-2</v>
      </c>
      <c r="G145" s="1">
        <v>186.7</v>
      </c>
      <c r="H145" s="1">
        <v>392.66</v>
      </c>
      <c r="I145" s="1">
        <v>0.9506</v>
      </c>
      <c r="J145" s="1">
        <v>1.7334000000000001</v>
      </c>
      <c r="K145" s="1">
        <v>1.3160000000000001</v>
      </c>
      <c r="L145" s="1">
        <v>0.85399999999999998</v>
      </c>
      <c r="M145" s="1">
        <v>1.167</v>
      </c>
      <c r="N145" s="1">
        <v>668</v>
      </c>
      <c r="O145" s="1">
        <v>146.9</v>
      </c>
      <c r="P145" s="1">
        <v>308.60000000000002</v>
      </c>
      <c r="Q145" s="1">
        <v>10.33</v>
      </c>
      <c r="R145" s="1">
        <v>96.5</v>
      </c>
      <c r="S145" s="1">
        <v>10.66</v>
      </c>
      <c r="T145" s="1">
        <v>13.02</v>
      </c>
      <c r="U145" s="1">
        <v>-10</v>
      </c>
    </row>
    <row r="146" spans="1:21">
      <c r="A146" s="32">
        <v>-8</v>
      </c>
      <c r="B146" s="1">
        <v>0.21693000000000001</v>
      </c>
      <c r="C146" s="108">
        <f t="shared" si="15"/>
        <v>31.463093340000004</v>
      </c>
      <c r="D146" s="1">
        <v>1320.8</v>
      </c>
      <c r="E146" s="1">
        <f t="shared" si="16"/>
        <v>10.820168794633195</v>
      </c>
      <c r="F146" s="1">
        <v>9.2420000000000002E-2</v>
      </c>
      <c r="G146" s="1">
        <v>189.34</v>
      </c>
      <c r="H146" s="1">
        <v>393.87</v>
      </c>
      <c r="I146" s="1">
        <v>0.96060000000000001</v>
      </c>
      <c r="J146" s="1">
        <v>1.732</v>
      </c>
      <c r="K146" s="1">
        <v>1.32</v>
      </c>
      <c r="L146" s="1">
        <v>0.86299999999999999</v>
      </c>
      <c r="M146" s="1">
        <v>1.169</v>
      </c>
      <c r="N146" s="1">
        <v>658</v>
      </c>
      <c r="O146" s="1">
        <v>146.9</v>
      </c>
      <c r="P146" s="1">
        <v>300.60000000000002</v>
      </c>
      <c r="Q146" s="1">
        <v>10.41</v>
      </c>
      <c r="R146" s="1">
        <v>95.6</v>
      </c>
      <c r="S146" s="1">
        <v>10.83</v>
      </c>
      <c r="T146" s="1">
        <v>12.72</v>
      </c>
      <c r="U146" s="1">
        <v>-8</v>
      </c>
    </row>
    <row r="147" spans="1:21">
      <c r="A147" s="32">
        <v>-6</v>
      </c>
      <c r="B147" s="1">
        <v>0.23427999999999999</v>
      </c>
      <c r="C147" s="108">
        <f t="shared" si="15"/>
        <v>33.97950264</v>
      </c>
      <c r="D147" s="1">
        <v>1314.3</v>
      </c>
      <c r="E147" s="1">
        <f t="shared" si="16"/>
        <v>11.64551065564225</v>
      </c>
      <c r="F147" s="1">
        <v>8.5870000000000002E-2</v>
      </c>
      <c r="G147" s="1">
        <v>191.99</v>
      </c>
      <c r="H147" s="1">
        <v>395.06</v>
      </c>
      <c r="I147" s="1">
        <v>0.97050000000000003</v>
      </c>
      <c r="J147" s="1">
        <v>1.7306999999999999</v>
      </c>
      <c r="K147" s="1">
        <v>1.325</v>
      </c>
      <c r="L147" s="1">
        <v>0.871</v>
      </c>
      <c r="M147" s="1">
        <v>1.171</v>
      </c>
      <c r="N147" s="1">
        <v>649</v>
      </c>
      <c r="O147" s="1">
        <v>147</v>
      </c>
      <c r="P147" s="1">
        <v>292.89999999999998</v>
      </c>
      <c r="Q147" s="1">
        <v>10.49</v>
      </c>
      <c r="R147" s="1">
        <v>94.7</v>
      </c>
      <c r="S147" s="1">
        <v>11</v>
      </c>
      <c r="T147" s="1">
        <v>12.43</v>
      </c>
      <c r="U147" s="1">
        <v>-6</v>
      </c>
    </row>
    <row r="148" spans="1:21">
      <c r="A148" s="32">
        <v>-4</v>
      </c>
      <c r="B148" s="1">
        <v>0.25268000000000002</v>
      </c>
      <c r="C148" s="108">
        <f t="shared" si="15"/>
        <v>36.648201840000006</v>
      </c>
      <c r="D148" s="1">
        <v>1307.9000000000001</v>
      </c>
      <c r="E148" s="1">
        <f t="shared" si="16"/>
        <v>12.520345561537498</v>
      </c>
      <c r="F148" s="1">
        <v>7.9869999999999997E-2</v>
      </c>
      <c r="G148" s="1">
        <v>194.65</v>
      </c>
      <c r="H148" s="1">
        <v>396.25</v>
      </c>
      <c r="I148" s="1">
        <v>0.98040000000000005</v>
      </c>
      <c r="J148" s="1">
        <v>1.7294</v>
      </c>
      <c r="K148" s="1">
        <v>1.33</v>
      </c>
      <c r="L148" s="1">
        <v>0.88</v>
      </c>
      <c r="M148" s="1">
        <v>1.1739999999999999</v>
      </c>
      <c r="N148" s="1">
        <v>640</v>
      </c>
      <c r="O148" s="1">
        <v>147</v>
      </c>
      <c r="P148" s="1">
        <v>285.39999999999998</v>
      </c>
      <c r="Q148" s="1">
        <v>10.57</v>
      </c>
      <c r="R148" s="1">
        <v>93.8</v>
      </c>
      <c r="S148" s="1">
        <v>11.17</v>
      </c>
      <c r="T148" s="1">
        <v>12.14</v>
      </c>
      <c r="U148" s="1">
        <v>-4</v>
      </c>
    </row>
    <row r="149" spans="1:21">
      <c r="A149" s="32">
        <v>-2</v>
      </c>
      <c r="B149" s="1">
        <v>0.27217000000000002</v>
      </c>
      <c r="C149" s="108">
        <f t="shared" si="15"/>
        <v>39.474992460000003</v>
      </c>
      <c r="D149" s="1">
        <v>1301.4000000000001</v>
      </c>
      <c r="E149" s="1">
        <f t="shared" si="16"/>
        <v>13.448090371167295</v>
      </c>
      <c r="F149" s="1">
        <v>7.4359999999999996E-2</v>
      </c>
      <c r="G149" s="1">
        <v>197.32</v>
      </c>
      <c r="H149" s="1">
        <v>397.43</v>
      </c>
      <c r="I149" s="1">
        <v>0.99019999999999997</v>
      </c>
      <c r="J149" s="1">
        <v>1.7282</v>
      </c>
      <c r="K149" s="1">
        <v>1.3360000000000001</v>
      </c>
      <c r="L149" s="1">
        <v>0.88800000000000001</v>
      </c>
      <c r="M149" s="1">
        <v>1.1759999999999999</v>
      </c>
      <c r="N149" s="1">
        <v>631</v>
      </c>
      <c r="O149" s="1">
        <v>147</v>
      </c>
      <c r="P149" s="1">
        <v>278.10000000000002</v>
      </c>
      <c r="Q149" s="1">
        <v>10.65</v>
      </c>
      <c r="R149" s="1">
        <v>92.9</v>
      </c>
      <c r="S149" s="1">
        <v>11.34</v>
      </c>
      <c r="T149" s="1">
        <v>11.85</v>
      </c>
      <c r="U149" s="1">
        <v>-2</v>
      </c>
    </row>
    <row r="150" spans="1:21">
      <c r="A150" s="32">
        <v>0</v>
      </c>
      <c r="B150" s="1">
        <v>0.2928</v>
      </c>
      <c r="C150" s="108">
        <f t="shared" si="15"/>
        <v>42.467126400000005</v>
      </c>
      <c r="D150" s="1">
        <v>1294.8</v>
      </c>
      <c r="E150" s="1">
        <f t="shared" si="16"/>
        <v>14.427932477276007</v>
      </c>
      <c r="F150" s="1">
        <v>6.9309999999999997E-2</v>
      </c>
      <c r="G150" s="1">
        <v>200</v>
      </c>
      <c r="H150" s="1">
        <v>398.6</v>
      </c>
      <c r="I150" s="1">
        <v>1</v>
      </c>
      <c r="J150" s="1">
        <v>1.7271000000000001</v>
      </c>
      <c r="K150" s="1">
        <v>1.341</v>
      </c>
      <c r="L150" s="1">
        <v>0.89700000000000002</v>
      </c>
      <c r="M150" s="1">
        <v>1.179</v>
      </c>
      <c r="N150" s="1">
        <v>622</v>
      </c>
      <c r="O150" s="1">
        <v>146.9</v>
      </c>
      <c r="P150" s="1">
        <v>271.10000000000002</v>
      </c>
      <c r="Q150" s="1">
        <v>10.73</v>
      </c>
      <c r="R150" s="1">
        <v>92</v>
      </c>
      <c r="S150" s="1">
        <v>11.51</v>
      </c>
      <c r="T150" s="1">
        <v>11.56</v>
      </c>
      <c r="U150" s="1">
        <v>0</v>
      </c>
    </row>
    <row r="151" spans="1:21">
      <c r="A151" s="32">
        <v>2</v>
      </c>
      <c r="B151" s="1">
        <v>0.31462000000000001</v>
      </c>
      <c r="C151" s="108">
        <f t="shared" si="15"/>
        <v>45.631855560000005</v>
      </c>
      <c r="D151" s="1">
        <v>1288.0999999999999</v>
      </c>
      <c r="E151" s="1">
        <f t="shared" si="16"/>
        <v>15.465511908444171</v>
      </c>
      <c r="F151" s="1">
        <v>6.4659999999999995E-2</v>
      </c>
      <c r="G151" s="1">
        <v>202.69</v>
      </c>
      <c r="H151" s="1">
        <v>399.77</v>
      </c>
      <c r="I151" s="1">
        <v>1.0098</v>
      </c>
      <c r="J151" s="1">
        <v>1.726</v>
      </c>
      <c r="K151" s="1">
        <v>1.347</v>
      </c>
      <c r="L151" s="1">
        <v>0.90600000000000003</v>
      </c>
      <c r="M151" s="1">
        <v>1.1819999999999999</v>
      </c>
      <c r="N151" s="1">
        <v>612</v>
      </c>
      <c r="O151" s="1">
        <v>146.9</v>
      </c>
      <c r="P151" s="1">
        <v>264.3</v>
      </c>
      <c r="Q151" s="1">
        <v>10.81</v>
      </c>
      <c r="R151" s="1">
        <v>91.1</v>
      </c>
      <c r="S151" s="1">
        <v>11.69</v>
      </c>
      <c r="T151" s="1">
        <v>11.27</v>
      </c>
      <c r="U151" s="1">
        <v>2</v>
      </c>
    </row>
    <row r="152" spans="1:21">
      <c r="A152" s="32">
        <v>4</v>
      </c>
      <c r="B152" s="1">
        <v>0.33766000000000002</v>
      </c>
      <c r="C152" s="108">
        <f t="shared" si="15"/>
        <v>48.973531080000008</v>
      </c>
      <c r="D152" s="1">
        <v>1281.4000000000001</v>
      </c>
      <c r="E152" s="1">
        <f t="shared" si="16"/>
        <v>16.559032952475576</v>
      </c>
      <c r="F152" s="1">
        <v>6.0389999999999999E-2</v>
      </c>
      <c r="G152" s="1">
        <v>205.4</v>
      </c>
      <c r="H152" s="1">
        <v>400.92</v>
      </c>
      <c r="I152" s="1">
        <v>1.0195000000000001</v>
      </c>
      <c r="J152" s="1">
        <v>1.7250000000000001</v>
      </c>
      <c r="K152" s="1">
        <v>1.3520000000000001</v>
      </c>
      <c r="L152" s="1">
        <v>0.91600000000000004</v>
      </c>
      <c r="M152" s="1">
        <v>1.1850000000000001</v>
      </c>
      <c r="N152" s="1">
        <v>603</v>
      </c>
      <c r="O152" s="1">
        <v>146.80000000000001</v>
      </c>
      <c r="P152" s="1">
        <v>257.60000000000002</v>
      </c>
      <c r="Q152" s="1">
        <v>10.9</v>
      </c>
      <c r="R152" s="1">
        <v>90.2</v>
      </c>
      <c r="S152" s="1">
        <v>11.86</v>
      </c>
      <c r="T152" s="1">
        <v>10.99</v>
      </c>
      <c r="U152" s="1">
        <v>4</v>
      </c>
    </row>
    <row r="153" spans="1:21">
      <c r="A153" s="32">
        <v>6</v>
      </c>
      <c r="B153" s="1">
        <v>0.36198000000000002</v>
      </c>
      <c r="C153" s="108">
        <f t="shared" si="15"/>
        <v>52.500855240000007</v>
      </c>
      <c r="D153" s="1">
        <v>1274.7</v>
      </c>
      <c r="E153" s="1">
        <f t="shared" si="16"/>
        <v>17.71793054571226</v>
      </c>
      <c r="F153" s="1">
        <v>5.6439999999999997E-2</v>
      </c>
      <c r="G153" s="1">
        <v>208.11</v>
      </c>
      <c r="H153" s="1">
        <v>402.06</v>
      </c>
      <c r="I153" s="1">
        <v>1.0291999999999999</v>
      </c>
      <c r="J153" s="1">
        <v>1.724</v>
      </c>
      <c r="K153" s="1">
        <v>1.3580000000000001</v>
      </c>
      <c r="L153" s="1">
        <v>0.92500000000000004</v>
      </c>
      <c r="M153" s="1">
        <v>1.1890000000000001</v>
      </c>
      <c r="N153" s="1">
        <v>594</v>
      </c>
      <c r="O153" s="1">
        <v>146.69999999999999</v>
      </c>
      <c r="P153" s="1">
        <v>251.2</v>
      </c>
      <c r="Q153" s="1">
        <v>10.98</v>
      </c>
      <c r="R153" s="1">
        <v>89.4</v>
      </c>
      <c r="S153" s="1">
        <v>12.04</v>
      </c>
      <c r="T153" s="1">
        <v>10.7</v>
      </c>
      <c r="U153" s="1">
        <v>6</v>
      </c>
    </row>
    <row r="154" spans="1:21">
      <c r="A154" s="32">
        <v>8</v>
      </c>
      <c r="B154" s="1">
        <v>0.38761000000000001</v>
      </c>
      <c r="C154" s="108">
        <f t="shared" si="15"/>
        <v>56.218179180000007</v>
      </c>
      <c r="D154" s="1">
        <v>1267.9000000000001</v>
      </c>
      <c r="E154" s="1">
        <f t="shared" si="16"/>
        <v>18.939393939393941</v>
      </c>
      <c r="F154" s="1">
        <v>5.28E-2</v>
      </c>
      <c r="G154" s="1">
        <v>210.84</v>
      </c>
      <c r="H154" s="1">
        <v>403.2</v>
      </c>
      <c r="I154" s="1">
        <v>1.0387999999999999</v>
      </c>
      <c r="J154" s="1">
        <v>1.7230000000000001</v>
      </c>
      <c r="K154" s="1">
        <v>1.3640000000000001</v>
      </c>
      <c r="L154" s="1">
        <v>0.93500000000000005</v>
      </c>
      <c r="M154" s="1">
        <v>1.1919999999999999</v>
      </c>
      <c r="N154" s="1">
        <v>585</v>
      </c>
      <c r="O154" s="1">
        <v>146.5</v>
      </c>
      <c r="P154" s="1">
        <v>244.9</v>
      </c>
      <c r="Q154" s="1">
        <v>11.06</v>
      </c>
      <c r="R154" s="1">
        <v>88.5</v>
      </c>
      <c r="S154" s="1">
        <v>12.22</v>
      </c>
      <c r="T154" s="1">
        <v>10.42</v>
      </c>
      <c r="U154" s="1">
        <v>8</v>
      </c>
    </row>
    <row r="155" spans="1:21">
      <c r="A155" s="32">
        <v>10</v>
      </c>
      <c r="B155" s="1">
        <v>0.41460999999999998</v>
      </c>
      <c r="C155" s="108">
        <f t="shared" si="15"/>
        <v>60.134205180000002</v>
      </c>
      <c r="D155" s="1">
        <v>1261</v>
      </c>
      <c r="E155" s="1">
        <f t="shared" si="16"/>
        <v>20.226537216828479</v>
      </c>
      <c r="F155" s="1">
        <v>4.9439999999999998E-2</v>
      </c>
      <c r="G155" s="1">
        <v>213.58</v>
      </c>
      <c r="H155" s="1">
        <v>404.32</v>
      </c>
      <c r="I155" s="1">
        <v>1.0485</v>
      </c>
      <c r="J155" s="1">
        <v>1.7221</v>
      </c>
      <c r="K155" s="1">
        <v>1.37</v>
      </c>
      <c r="L155" s="1">
        <v>0.94499999999999995</v>
      </c>
      <c r="M155" s="1">
        <v>1.196</v>
      </c>
      <c r="N155" s="1">
        <v>576</v>
      </c>
      <c r="O155" s="1">
        <v>146.4</v>
      </c>
      <c r="P155" s="1">
        <v>238.8</v>
      </c>
      <c r="Q155" s="1">
        <v>11.15</v>
      </c>
      <c r="R155" s="1">
        <v>87.6</v>
      </c>
      <c r="S155" s="1">
        <v>12.4</v>
      </c>
      <c r="T155" s="1">
        <v>10.14</v>
      </c>
      <c r="U155" s="1">
        <v>10</v>
      </c>
    </row>
    <row r="156" spans="1:21">
      <c r="A156" s="32">
        <v>12</v>
      </c>
      <c r="B156" s="1">
        <v>0.44301000000000001</v>
      </c>
      <c r="C156" s="108">
        <f t="shared" si="15"/>
        <v>64.253284380000011</v>
      </c>
      <c r="D156" s="1">
        <v>1254</v>
      </c>
      <c r="E156" s="1">
        <f t="shared" si="16"/>
        <v>21.584286639326567</v>
      </c>
      <c r="F156" s="1">
        <v>4.6330000000000003E-2</v>
      </c>
      <c r="G156" s="1">
        <v>216.33</v>
      </c>
      <c r="H156" s="1">
        <v>405.43</v>
      </c>
      <c r="I156" s="1">
        <v>1.0581</v>
      </c>
      <c r="J156" s="1">
        <v>1.7212000000000001</v>
      </c>
      <c r="K156" s="1">
        <v>1.377</v>
      </c>
      <c r="L156" s="1">
        <v>0.95599999999999996</v>
      </c>
      <c r="M156" s="1">
        <v>1.2</v>
      </c>
      <c r="N156" s="1">
        <v>566</v>
      </c>
      <c r="O156" s="1">
        <v>146.19999999999999</v>
      </c>
      <c r="P156" s="1">
        <v>232.9</v>
      </c>
      <c r="Q156" s="1">
        <v>11.23</v>
      </c>
      <c r="R156" s="1">
        <v>86.7</v>
      </c>
      <c r="S156" s="1">
        <v>12.58</v>
      </c>
      <c r="T156" s="1">
        <v>9.86</v>
      </c>
      <c r="U156" s="1">
        <v>12</v>
      </c>
    </row>
    <row r="157" spans="1:21">
      <c r="A157" s="32">
        <v>14</v>
      </c>
      <c r="B157" s="1">
        <v>0.47288000000000002</v>
      </c>
      <c r="C157" s="108">
        <f t="shared" si="15"/>
        <v>68.585569440000015</v>
      </c>
      <c r="D157" s="1">
        <v>1246.9000000000001</v>
      </c>
      <c r="E157" s="1">
        <f t="shared" si="16"/>
        <v>23.014959723820482</v>
      </c>
      <c r="F157" s="1">
        <v>4.3450000000000003E-2</v>
      </c>
      <c r="G157" s="1">
        <v>219.09</v>
      </c>
      <c r="H157" s="1">
        <v>406.53</v>
      </c>
      <c r="I157" s="1">
        <v>1.0677000000000001</v>
      </c>
      <c r="J157" s="1">
        <v>1.7203999999999999</v>
      </c>
      <c r="K157" s="1">
        <v>1.383</v>
      </c>
      <c r="L157" s="1">
        <v>0.96699999999999997</v>
      </c>
      <c r="M157" s="1">
        <v>1.204</v>
      </c>
      <c r="N157" s="1">
        <v>557</v>
      </c>
      <c r="O157" s="1">
        <v>146</v>
      </c>
      <c r="P157" s="1">
        <v>227.1</v>
      </c>
      <c r="Q157" s="1">
        <v>11.32</v>
      </c>
      <c r="R157" s="1">
        <v>85.9</v>
      </c>
      <c r="S157" s="1">
        <v>12.77</v>
      </c>
      <c r="T157" s="1">
        <v>9.58</v>
      </c>
      <c r="U157" s="1">
        <v>14</v>
      </c>
    </row>
    <row r="158" spans="1:21">
      <c r="A158" s="32">
        <v>16</v>
      </c>
      <c r="B158" s="1">
        <v>0.50424999999999998</v>
      </c>
      <c r="C158" s="108">
        <f t="shared" si="15"/>
        <v>73.135411500000004</v>
      </c>
      <c r="D158" s="1">
        <v>1239.8</v>
      </c>
      <c r="E158" s="1">
        <f t="shared" si="16"/>
        <v>24.521824423737129</v>
      </c>
      <c r="F158" s="1">
        <v>4.0779999999999997E-2</v>
      </c>
      <c r="G158" s="1">
        <v>221.87</v>
      </c>
      <c r="H158" s="1">
        <v>407.61</v>
      </c>
      <c r="I158" s="1">
        <v>1.0771999999999999</v>
      </c>
      <c r="J158" s="1">
        <v>1.7196</v>
      </c>
      <c r="K158" s="1">
        <v>1.39</v>
      </c>
      <c r="L158" s="1">
        <v>0.97799999999999998</v>
      </c>
      <c r="M158" s="1">
        <v>1.2090000000000001</v>
      </c>
      <c r="N158" s="1">
        <v>548</v>
      </c>
      <c r="O158" s="1">
        <v>145.69999999999999</v>
      </c>
      <c r="P158" s="1">
        <v>221.5</v>
      </c>
      <c r="Q158" s="1">
        <v>11.4</v>
      </c>
      <c r="R158" s="1">
        <v>85</v>
      </c>
      <c r="S158" s="1">
        <v>12.95</v>
      </c>
      <c r="T158" s="1">
        <v>9.3000000000000007</v>
      </c>
      <c r="U158" s="1">
        <v>16</v>
      </c>
    </row>
    <row r="159" spans="1:21">
      <c r="A159" s="32">
        <v>18</v>
      </c>
      <c r="B159" s="1">
        <v>0.53717999999999999</v>
      </c>
      <c r="C159" s="108">
        <f t="shared" si="15"/>
        <v>77.91151284</v>
      </c>
      <c r="D159" s="1">
        <v>1232.5999999999999</v>
      </c>
      <c r="E159" s="1">
        <f t="shared" si="16"/>
        <v>26.109660574412533</v>
      </c>
      <c r="F159" s="1">
        <v>3.8300000000000001E-2</v>
      </c>
      <c r="G159" s="1">
        <v>224.66</v>
      </c>
      <c r="H159" s="1">
        <v>408.69</v>
      </c>
      <c r="I159" s="1">
        <v>1.0867</v>
      </c>
      <c r="J159" s="1">
        <v>1.7188000000000001</v>
      </c>
      <c r="K159" s="1">
        <v>1.397</v>
      </c>
      <c r="L159" s="1">
        <v>0.98899999999999999</v>
      </c>
      <c r="M159" s="1">
        <v>1.214</v>
      </c>
      <c r="N159" s="1">
        <v>539</v>
      </c>
      <c r="O159" s="1">
        <v>145.5</v>
      </c>
      <c r="P159" s="1">
        <v>216</v>
      </c>
      <c r="Q159" s="1">
        <v>11.49</v>
      </c>
      <c r="R159" s="1">
        <v>84.1</v>
      </c>
      <c r="S159" s="1">
        <v>13.14</v>
      </c>
      <c r="T159" s="1">
        <v>9.0299999999999994</v>
      </c>
      <c r="U159" s="1">
        <v>18</v>
      </c>
    </row>
    <row r="160" spans="1:21">
      <c r="A160" s="32">
        <v>20</v>
      </c>
      <c r="B160" s="1">
        <v>0.57171000000000005</v>
      </c>
      <c r="C160" s="108">
        <f t="shared" si="15"/>
        <v>82.919674980000011</v>
      </c>
      <c r="D160" s="1">
        <v>1225.3</v>
      </c>
      <c r="E160" s="1">
        <f t="shared" si="16"/>
        <v>27.777777777777779</v>
      </c>
      <c r="F160" s="1">
        <v>3.5999999999999997E-2</v>
      </c>
      <c r="G160" s="1">
        <v>227.47</v>
      </c>
      <c r="H160" s="1">
        <v>409.75</v>
      </c>
      <c r="I160" s="1">
        <v>1.0962000000000001</v>
      </c>
      <c r="J160" s="1">
        <v>1.718</v>
      </c>
      <c r="K160" s="1">
        <v>1.405</v>
      </c>
      <c r="L160" s="1">
        <v>1.0009999999999999</v>
      </c>
      <c r="M160" s="1">
        <v>1.2190000000000001</v>
      </c>
      <c r="N160" s="1">
        <v>530</v>
      </c>
      <c r="O160" s="1">
        <v>145.1</v>
      </c>
      <c r="P160" s="1">
        <v>210.7</v>
      </c>
      <c r="Q160" s="1">
        <v>11.58</v>
      </c>
      <c r="R160" s="1">
        <v>83.3</v>
      </c>
      <c r="S160" s="1">
        <v>13.33</v>
      </c>
      <c r="T160" s="1">
        <v>8.76</v>
      </c>
      <c r="U160" s="1">
        <v>20</v>
      </c>
    </row>
    <row r="161" spans="1:21">
      <c r="A161" s="32">
        <v>22</v>
      </c>
      <c r="B161" s="1">
        <v>0.60789000000000004</v>
      </c>
      <c r="C161" s="108">
        <f t="shared" si="15"/>
        <v>88.167149820000006</v>
      </c>
      <c r="D161" s="1">
        <v>1218</v>
      </c>
      <c r="E161" s="1">
        <f t="shared" si="16"/>
        <v>29.542097488921716</v>
      </c>
      <c r="F161" s="1">
        <v>3.3849999999999998E-2</v>
      </c>
      <c r="G161" s="1">
        <v>230.29</v>
      </c>
      <c r="H161" s="1">
        <v>410.79</v>
      </c>
      <c r="I161" s="1">
        <v>1.1056999999999999</v>
      </c>
      <c r="J161" s="1">
        <v>1.7173</v>
      </c>
      <c r="K161" s="1">
        <v>1.413</v>
      </c>
      <c r="L161" s="1">
        <v>1.0129999999999999</v>
      </c>
      <c r="M161" s="1">
        <v>1.224</v>
      </c>
      <c r="N161" s="1">
        <v>520</v>
      </c>
      <c r="O161" s="1">
        <v>144.80000000000001</v>
      </c>
      <c r="P161" s="1">
        <v>205.5</v>
      </c>
      <c r="Q161" s="1">
        <v>11.67</v>
      </c>
      <c r="R161" s="1">
        <v>82.4</v>
      </c>
      <c r="S161" s="1">
        <v>13.53</v>
      </c>
      <c r="T161" s="1">
        <v>8.48</v>
      </c>
      <c r="U161" s="1">
        <v>22</v>
      </c>
    </row>
    <row r="162" spans="1:21">
      <c r="A162" s="32">
        <v>24</v>
      </c>
      <c r="B162" s="1">
        <v>0.64578000000000002</v>
      </c>
      <c r="C162" s="108">
        <f t="shared" si="15"/>
        <v>93.662639640000009</v>
      </c>
      <c r="D162" s="1">
        <v>1210.5</v>
      </c>
      <c r="E162" s="1">
        <f t="shared" si="16"/>
        <v>31.387319522912744</v>
      </c>
      <c r="F162" s="1">
        <v>3.1859999999999999E-2</v>
      </c>
      <c r="G162" s="1">
        <v>233.12</v>
      </c>
      <c r="H162" s="1">
        <v>411.82</v>
      </c>
      <c r="I162" s="1">
        <v>1.1152</v>
      </c>
      <c r="J162" s="1">
        <v>1.7165999999999999</v>
      </c>
      <c r="K162" s="1">
        <v>1.421</v>
      </c>
      <c r="L162" s="1">
        <v>1.0249999999999999</v>
      </c>
      <c r="M162" s="1">
        <v>1.23</v>
      </c>
      <c r="N162" s="1">
        <v>511</v>
      </c>
      <c r="O162" s="1">
        <v>144.5</v>
      </c>
      <c r="P162" s="1">
        <v>200.4</v>
      </c>
      <c r="Q162" s="1">
        <v>11.76</v>
      </c>
      <c r="R162" s="1">
        <v>81.599999999999994</v>
      </c>
      <c r="S162" s="1">
        <v>13.72</v>
      </c>
      <c r="T162" s="1">
        <v>8.2100000000000009</v>
      </c>
      <c r="U162" s="1">
        <v>24</v>
      </c>
    </row>
    <row r="163" spans="1:21">
      <c r="A163" s="32">
        <v>26</v>
      </c>
      <c r="B163" s="1">
        <v>0.68542999999999998</v>
      </c>
      <c r="C163" s="108">
        <f t="shared" si="15"/>
        <v>99.413396340000006</v>
      </c>
      <c r="D163" s="1">
        <v>1202.9000000000001</v>
      </c>
      <c r="E163" s="1">
        <f t="shared" si="16"/>
        <v>33.333333333333336</v>
      </c>
      <c r="F163" s="1">
        <v>0.03</v>
      </c>
      <c r="G163" s="1">
        <v>235.97</v>
      </c>
      <c r="H163" s="1">
        <v>412.84</v>
      </c>
      <c r="I163" s="1">
        <v>1.1246</v>
      </c>
      <c r="J163" s="1">
        <v>1.7159</v>
      </c>
      <c r="K163" s="1">
        <v>1.429</v>
      </c>
      <c r="L163" s="1">
        <v>1.038</v>
      </c>
      <c r="M163" s="1">
        <v>1.236</v>
      </c>
      <c r="N163" s="1">
        <v>502</v>
      </c>
      <c r="O163" s="1">
        <v>144.1</v>
      </c>
      <c r="P163" s="1">
        <v>195.4</v>
      </c>
      <c r="Q163" s="1">
        <v>11.85</v>
      </c>
      <c r="R163" s="1">
        <v>80.7</v>
      </c>
      <c r="S163" s="1">
        <v>13.92</v>
      </c>
      <c r="T163" s="1">
        <v>7.95</v>
      </c>
      <c r="U163" s="1">
        <v>26</v>
      </c>
    </row>
    <row r="164" spans="1:21">
      <c r="A164" s="32">
        <v>28</v>
      </c>
      <c r="B164" s="1">
        <v>0.72687999999999997</v>
      </c>
      <c r="C164" s="108">
        <f t="shared" si="15"/>
        <v>105.42522144</v>
      </c>
      <c r="D164" s="1">
        <v>1195.2</v>
      </c>
      <c r="E164" s="1">
        <f t="shared" si="16"/>
        <v>35.385704175513091</v>
      </c>
      <c r="F164" s="1">
        <v>2.826E-2</v>
      </c>
      <c r="G164" s="1">
        <v>238.84</v>
      </c>
      <c r="H164" s="1">
        <v>413.84</v>
      </c>
      <c r="I164" s="1">
        <v>1.1341000000000001</v>
      </c>
      <c r="J164" s="1">
        <v>1.7152000000000001</v>
      </c>
      <c r="K164" s="1">
        <v>1.4370000000000001</v>
      </c>
      <c r="L164" s="1">
        <v>1.052</v>
      </c>
      <c r="M164" s="1">
        <v>1.2430000000000001</v>
      </c>
      <c r="N164" s="1">
        <v>493</v>
      </c>
      <c r="O164" s="1">
        <v>143.6</v>
      </c>
      <c r="P164" s="1">
        <v>190.5</v>
      </c>
      <c r="Q164" s="1">
        <v>11.95</v>
      </c>
      <c r="R164" s="1">
        <v>79.8</v>
      </c>
      <c r="S164" s="1">
        <v>14.13</v>
      </c>
      <c r="T164" s="1">
        <v>7.68</v>
      </c>
      <c r="U164" s="1">
        <v>28</v>
      </c>
    </row>
    <row r="165" spans="1:21">
      <c r="A165" s="32">
        <v>30</v>
      </c>
      <c r="B165" s="1">
        <v>0.7702</v>
      </c>
      <c r="C165" s="108">
        <f t="shared" si="15"/>
        <v>111.70826760000001</v>
      </c>
      <c r="D165" s="1">
        <v>1187.5</v>
      </c>
      <c r="E165" s="1">
        <f t="shared" si="16"/>
        <v>37.537537537537538</v>
      </c>
      <c r="F165" s="1">
        <v>2.664E-2</v>
      </c>
      <c r="G165" s="1">
        <v>241.72</v>
      </c>
      <c r="H165" s="1">
        <v>414.82</v>
      </c>
      <c r="I165" s="1">
        <v>1.1435</v>
      </c>
      <c r="J165" s="1">
        <v>1.7144999999999999</v>
      </c>
      <c r="K165" s="1">
        <v>1.446</v>
      </c>
      <c r="L165" s="1">
        <v>1.0649999999999999</v>
      </c>
      <c r="M165" s="1">
        <v>1.2490000000000001</v>
      </c>
      <c r="N165" s="1">
        <v>483</v>
      </c>
      <c r="O165" s="1">
        <v>143.19999999999999</v>
      </c>
      <c r="P165" s="1">
        <v>185.8</v>
      </c>
      <c r="Q165" s="1">
        <v>12.04</v>
      </c>
      <c r="R165" s="1">
        <v>79</v>
      </c>
      <c r="S165" s="1">
        <v>14.33</v>
      </c>
      <c r="T165" s="1">
        <v>7.42</v>
      </c>
      <c r="U165" s="1">
        <v>30</v>
      </c>
    </row>
    <row r="166" spans="1:21">
      <c r="A166" s="32">
        <v>32</v>
      </c>
      <c r="B166" s="1">
        <v>0.81542999999999999</v>
      </c>
      <c r="C166" s="108">
        <f t="shared" si="15"/>
        <v>118.26833634</v>
      </c>
      <c r="D166" s="1">
        <v>1179.5999999999999</v>
      </c>
      <c r="E166" s="1">
        <f t="shared" si="16"/>
        <v>39.793076004775173</v>
      </c>
      <c r="F166" s="1">
        <v>2.513E-2</v>
      </c>
      <c r="G166" s="1">
        <v>244.62</v>
      </c>
      <c r="H166" s="1">
        <v>415.78</v>
      </c>
      <c r="I166" s="1">
        <v>1.1529</v>
      </c>
      <c r="J166" s="1">
        <v>1.7138</v>
      </c>
      <c r="K166" s="1">
        <v>1.456</v>
      </c>
      <c r="L166" s="1">
        <v>1.08</v>
      </c>
      <c r="M166" s="1">
        <v>1.2569999999999999</v>
      </c>
      <c r="N166" s="1">
        <v>474</v>
      </c>
      <c r="O166" s="1">
        <v>142.69999999999999</v>
      </c>
      <c r="P166" s="1">
        <v>181.1</v>
      </c>
      <c r="Q166" s="1">
        <v>12.14</v>
      </c>
      <c r="R166" s="1">
        <v>78.099999999999994</v>
      </c>
      <c r="S166" s="1">
        <v>14.54</v>
      </c>
      <c r="T166" s="1">
        <v>7.15</v>
      </c>
      <c r="U166" s="1">
        <v>32</v>
      </c>
    </row>
    <row r="167" spans="1:21">
      <c r="A167" s="32">
        <v>34</v>
      </c>
      <c r="B167" s="1">
        <v>0.86263000000000001</v>
      </c>
      <c r="C167" s="108">
        <f t="shared" si="15"/>
        <v>125.11412994000001</v>
      </c>
      <c r="D167" s="1">
        <v>1171.5999999999999</v>
      </c>
      <c r="E167" s="1">
        <f t="shared" si="16"/>
        <v>42.17629692113033</v>
      </c>
      <c r="F167" s="1">
        <v>2.3709999999999998E-2</v>
      </c>
      <c r="G167" s="1">
        <v>247.54</v>
      </c>
      <c r="H167" s="1">
        <v>416.72</v>
      </c>
      <c r="I167" s="1">
        <v>1.1623000000000001</v>
      </c>
      <c r="J167" s="1">
        <v>1.7131000000000001</v>
      </c>
      <c r="K167" s="1">
        <v>1.466</v>
      </c>
      <c r="L167" s="1">
        <v>1.095</v>
      </c>
      <c r="M167" s="1">
        <v>1.2649999999999999</v>
      </c>
      <c r="N167" s="1">
        <v>465</v>
      </c>
      <c r="O167" s="1">
        <v>142.1</v>
      </c>
      <c r="P167" s="1">
        <v>176.6</v>
      </c>
      <c r="Q167" s="1">
        <v>12.24</v>
      </c>
      <c r="R167" s="1">
        <v>77.3</v>
      </c>
      <c r="S167" s="1">
        <v>14.76</v>
      </c>
      <c r="T167" s="1">
        <v>6.89</v>
      </c>
      <c r="U167" s="1">
        <v>34</v>
      </c>
    </row>
    <row r="168" spans="1:21">
      <c r="A168" s="32">
        <v>36</v>
      </c>
      <c r="B168" s="1">
        <v>0.91185000000000005</v>
      </c>
      <c r="C168" s="108">
        <f t="shared" si="15"/>
        <v>132.25290030000002</v>
      </c>
      <c r="D168" s="1">
        <v>1163.4000000000001</v>
      </c>
      <c r="E168" s="1">
        <f t="shared" si="16"/>
        <v>44.682752457551381</v>
      </c>
      <c r="F168" s="1">
        <v>2.2380000000000001E-2</v>
      </c>
      <c r="G168" s="1">
        <v>250.48</v>
      </c>
      <c r="H168" s="1">
        <v>417.65</v>
      </c>
      <c r="I168" s="1">
        <v>1.1717</v>
      </c>
      <c r="J168" s="1">
        <v>1.7123999999999999</v>
      </c>
      <c r="K168" s="1">
        <v>1.476</v>
      </c>
      <c r="L168" s="1">
        <v>1.111</v>
      </c>
      <c r="M168" s="1">
        <v>1.2729999999999999</v>
      </c>
      <c r="N168" s="1">
        <v>455</v>
      </c>
      <c r="O168" s="1">
        <v>141.6</v>
      </c>
      <c r="P168" s="1">
        <v>172.1</v>
      </c>
      <c r="Q168" s="1">
        <v>12.34</v>
      </c>
      <c r="R168" s="1">
        <v>76.400000000000006</v>
      </c>
      <c r="S168" s="1">
        <v>14.98</v>
      </c>
      <c r="T168" s="1">
        <v>6.64</v>
      </c>
      <c r="U168" s="1">
        <v>36</v>
      </c>
    </row>
    <row r="169" spans="1:21">
      <c r="A169" s="32">
        <v>38</v>
      </c>
      <c r="B169" s="1">
        <v>0.96314999999999995</v>
      </c>
      <c r="C169" s="108">
        <f t="shared" si="15"/>
        <v>139.6933497</v>
      </c>
      <c r="D169" s="1">
        <v>1155.0999999999999</v>
      </c>
      <c r="E169" s="1">
        <f t="shared" si="16"/>
        <v>47.326076668244205</v>
      </c>
      <c r="F169" s="1">
        <v>2.1129999999999999E-2</v>
      </c>
      <c r="G169" s="1">
        <v>253.43</v>
      </c>
      <c r="H169" s="1">
        <v>418.55</v>
      </c>
      <c r="I169" s="1">
        <v>1.1811</v>
      </c>
      <c r="J169" s="1">
        <v>1.7118</v>
      </c>
      <c r="K169" s="1">
        <v>1.4870000000000001</v>
      </c>
      <c r="L169" s="1">
        <v>1.127</v>
      </c>
      <c r="M169" s="1">
        <v>1.282</v>
      </c>
      <c r="N169" s="1">
        <v>446</v>
      </c>
      <c r="O169" s="1">
        <v>141</v>
      </c>
      <c r="P169" s="1">
        <v>167.7</v>
      </c>
      <c r="Q169" s="1">
        <v>12.44</v>
      </c>
      <c r="R169" s="1">
        <v>75.599999999999994</v>
      </c>
      <c r="S169" s="1">
        <v>15.21</v>
      </c>
      <c r="T169" s="1">
        <v>6.38</v>
      </c>
      <c r="U169" s="1">
        <v>38</v>
      </c>
    </row>
    <row r="170" spans="1:21">
      <c r="A170" s="32">
        <v>40</v>
      </c>
      <c r="B170" s="1">
        <v>1.0165999999999999</v>
      </c>
      <c r="C170" s="108">
        <f t="shared" si="15"/>
        <v>147.4456308</v>
      </c>
      <c r="D170" s="1">
        <v>1146.7</v>
      </c>
      <c r="E170" s="1">
        <f t="shared" si="16"/>
        <v>50.075112669003502</v>
      </c>
      <c r="F170" s="1">
        <v>1.9970000000000002E-2</v>
      </c>
      <c r="G170" s="1">
        <v>256.41000000000003</v>
      </c>
      <c r="H170" s="1">
        <v>419.43</v>
      </c>
      <c r="I170" s="1">
        <v>1.1904999999999999</v>
      </c>
      <c r="J170" s="1">
        <v>1.7111000000000001</v>
      </c>
      <c r="K170" s="1">
        <v>1.498</v>
      </c>
      <c r="L170" s="1">
        <v>1.145</v>
      </c>
      <c r="M170" s="1">
        <v>1.292</v>
      </c>
      <c r="N170" s="1">
        <v>436</v>
      </c>
      <c r="O170" s="1">
        <v>140.30000000000001</v>
      </c>
      <c r="P170" s="1">
        <v>163.4</v>
      </c>
      <c r="Q170" s="1">
        <v>12.55</v>
      </c>
      <c r="R170" s="1">
        <v>74.7</v>
      </c>
      <c r="S170" s="1">
        <v>15.44</v>
      </c>
      <c r="T170" s="1">
        <v>6.13</v>
      </c>
      <c r="U170" s="1">
        <v>40</v>
      </c>
    </row>
    <row r="171" spans="1:21">
      <c r="A171" s="32">
        <v>42</v>
      </c>
      <c r="B171" s="1">
        <v>1.0722</v>
      </c>
      <c r="C171" s="108">
        <f t="shared" si="15"/>
        <v>155.50974360000001</v>
      </c>
      <c r="D171" s="1">
        <v>1138.2</v>
      </c>
      <c r="E171" s="1">
        <f t="shared" si="16"/>
        <v>52.994170641229459</v>
      </c>
      <c r="F171" s="1">
        <v>1.8870000000000001E-2</v>
      </c>
      <c r="G171" s="1">
        <v>259.41000000000003</v>
      </c>
      <c r="H171" s="1">
        <v>420.28</v>
      </c>
      <c r="I171" s="1">
        <v>1.1999</v>
      </c>
      <c r="J171" s="1">
        <v>1.7102999999999999</v>
      </c>
      <c r="K171" s="1">
        <v>1.51</v>
      </c>
      <c r="L171" s="1">
        <v>1.163</v>
      </c>
      <c r="M171" s="1">
        <v>1.3029999999999999</v>
      </c>
      <c r="N171" s="1">
        <v>427</v>
      </c>
      <c r="O171" s="1">
        <v>139.69999999999999</v>
      </c>
      <c r="P171" s="1">
        <v>159.19999999999999</v>
      </c>
      <c r="Q171" s="1">
        <v>12.65</v>
      </c>
      <c r="R171" s="1">
        <v>73.900000000000006</v>
      </c>
      <c r="S171" s="1">
        <v>15.68</v>
      </c>
      <c r="T171" s="1">
        <v>5.88</v>
      </c>
      <c r="U171" s="1">
        <v>42</v>
      </c>
    </row>
    <row r="172" spans="1:21">
      <c r="A172" s="32">
        <v>44</v>
      </c>
      <c r="B172" s="1">
        <v>1.1301000000000001</v>
      </c>
      <c r="C172" s="108">
        <f t="shared" si="15"/>
        <v>163.90744380000004</v>
      </c>
      <c r="D172" s="1">
        <v>1129.5</v>
      </c>
      <c r="E172" s="1">
        <f t="shared" si="16"/>
        <v>56.053811659192817</v>
      </c>
      <c r="F172" s="1">
        <v>1.7840000000000002E-2</v>
      </c>
      <c r="G172" s="1">
        <v>262.43</v>
      </c>
      <c r="H172" s="1">
        <v>421.11</v>
      </c>
      <c r="I172" s="1">
        <v>1.2092000000000001</v>
      </c>
      <c r="J172" s="1">
        <v>1.7096</v>
      </c>
      <c r="K172" s="1">
        <v>1.5229999999999999</v>
      </c>
      <c r="L172" s="1">
        <v>1.1819999999999999</v>
      </c>
      <c r="M172" s="1">
        <v>1.3140000000000001</v>
      </c>
      <c r="N172" s="1">
        <v>418</v>
      </c>
      <c r="O172" s="1">
        <v>138.9</v>
      </c>
      <c r="P172" s="1">
        <v>155.1</v>
      </c>
      <c r="Q172" s="1">
        <v>12.76</v>
      </c>
      <c r="R172" s="1">
        <v>73</v>
      </c>
      <c r="S172" s="1">
        <v>15.93</v>
      </c>
      <c r="T172" s="1">
        <v>5.63</v>
      </c>
      <c r="U172" s="1">
        <v>44</v>
      </c>
    </row>
    <row r="173" spans="1:21">
      <c r="A173" s="32">
        <v>46</v>
      </c>
      <c r="B173" s="1">
        <v>1.1902999999999999</v>
      </c>
      <c r="C173" s="108">
        <f t="shared" si="15"/>
        <v>172.63873140000001</v>
      </c>
      <c r="D173" s="1">
        <v>1120.5999999999999</v>
      </c>
      <c r="E173" s="1">
        <f t="shared" si="16"/>
        <v>59.276822762299943</v>
      </c>
      <c r="F173" s="1">
        <v>1.687E-2</v>
      </c>
      <c r="G173" s="1">
        <v>265.47000000000003</v>
      </c>
      <c r="H173" s="1">
        <v>421.92</v>
      </c>
      <c r="I173" s="1">
        <v>1.2185999999999999</v>
      </c>
      <c r="J173" s="1">
        <v>1.7089000000000001</v>
      </c>
      <c r="K173" s="1">
        <v>1.5369999999999999</v>
      </c>
      <c r="L173" s="1">
        <v>1.202</v>
      </c>
      <c r="M173" s="1">
        <v>1.3260000000000001</v>
      </c>
      <c r="N173" s="1">
        <v>408</v>
      </c>
      <c r="O173" s="1">
        <v>138.19999999999999</v>
      </c>
      <c r="P173" s="1">
        <v>151</v>
      </c>
      <c r="Q173" s="1">
        <v>12.88</v>
      </c>
      <c r="R173" s="1">
        <v>72.099999999999994</v>
      </c>
      <c r="S173" s="1">
        <v>16.18</v>
      </c>
      <c r="T173" s="1">
        <v>5.38</v>
      </c>
      <c r="U173" s="1">
        <v>46</v>
      </c>
    </row>
    <row r="174" spans="1:21">
      <c r="A174" s="32">
        <v>48</v>
      </c>
      <c r="B174" s="1">
        <v>1.2528999999999999</v>
      </c>
      <c r="C174" s="108">
        <f t="shared" si="15"/>
        <v>181.71811020000001</v>
      </c>
      <c r="D174" s="1">
        <v>1111.5</v>
      </c>
      <c r="E174" s="1">
        <f t="shared" si="16"/>
        <v>62.695924764890286</v>
      </c>
      <c r="F174" s="1">
        <v>1.5949999999999999E-2</v>
      </c>
      <c r="G174" s="1">
        <v>268.52999999999997</v>
      </c>
      <c r="H174" s="1">
        <v>422.69</v>
      </c>
      <c r="I174" s="1">
        <v>1.228</v>
      </c>
      <c r="J174" s="1">
        <v>1.7081</v>
      </c>
      <c r="K174" s="1">
        <v>1.5509999999999999</v>
      </c>
      <c r="L174" s="1">
        <v>1.2230000000000001</v>
      </c>
      <c r="M174" s="1">
        <v>1.339</v>
      </c>
      <c r="N174" s="1">
        <v>399</v>
      </c>
      <c r="O174" s="1">
        <v>137.4</v>
      </c>
      <c r="P174" s="1">
        <v>147</v>
      </c>
      <c r="Q174" s="1">
        <v>13</v>
      </c>
      <c r="R174" s="1">
        <v>71.3</v>
      </c>
      <c r="S174" s="1">
        <v>16.45</v>
      </c>
      <c r="T174" s="1">
        <v>5.13</v>
      </c>
      <c r="U174" s="1">
        <v>48</v>
      </c>
    </row>
    <row r="175" spans="1:21">
      <c r="A175" s="32">
        <v>50</v>
      </c>
      <c r="B175" s="1">
        <v>1.3179000000000001</v>
      </c>
      <c r="C175" s="108">
        <f t="shared" si="15"/>
        <v>191.14558020000001</v>
      </c>
      <c r="D175" s="1">
        <v>1102.3</v>
      </c>
      <c r="E175" s="1">
        <f t="shared" si="16"/>
        <v>66.269052352551356</v>
      </c>
      <c r="F175" s="1">
        <v>1.5089999999999999E-2</v>
      </c>
      <c r="G175" s="1">
        <v>271.62</v>
      </c>
      <c r="H175" s="1">
        <v>423.44</v>
      </c>
      <c r="I175" s="1">
        <v>1.2375</v>
      </c>
      <c r="J175" s="1">
        <v>1.7072000000000001</v>
      </c>
      <c r="K175" s="1">
        <v>1.5660000000000001</v>
      </c>
      <c r="L175" s="1">
        <v>1.246</v>
      </c>
      <c r="M175" s="1">
        <v>1.3540000000000001</v>
      </c>
      <c r="N175" s="1">
        <v>389</v>
      </c>
      <c r="O175" s="1">
        <v>136.6</v>
      </c>
      <c r="P175" s="1">
        <v>143.1</v>
      </c>
      <c r="Q175" s="1">
        <v>13.12</v>
      </c>
      <c r="R175" s="1">
        <v>70.400000000000006</v>
      </c>
      <c r="S175" s="1">
        <v>16.72</v>
      </c>
      <c r="T175" s="1">
        <v>4.8899999999999997</v>
      </c>
      <c r="U175" s="1">
        <v>50</v>
      </c>
    </row>
    <row r="176" spans="1:21">
      <c r="A176" s="32">
        <v>52</v>
      </c>
      <c r="B176" s="1">
        <v>1.3854</v>
      </c>
      <c r="C176" s="108">
        <f t="shared" si="15"/>
        <v>200.93564520000001</v>
      </c>
      <c r="D176" s="1">
        <v>1092.9000000000001</v>
      </c>
      <c r="E176" s="1">
        <f t="shared" si="16"/>
        <v>70.0280112044818</v>
      </c>
      <c r="F176" s="1">
        <v>1.4279999999999999E-2</v>
      </c>
      <c r="G176" s="1">
        <v>274.74</v>
      </c>
      <c r="H176" s="1">
        <v>424.15</v>
      </c>
      <c r="I176" s="1">
        <v>1.2468999999999999</v>
      </c>
      <c r="J176" s="1">
        <v>1.7063999999999999</v>
      </c>
      <c r="K176" s="1">
        <v>1.5820000000000001</v>
      </c>
      <c r="L176" s="1">
        <v>1.27</v>
      </c>
      <c r="M176" s="1">
        <v>1.369</v>
      </c>
      <c r="N176" s="1">
        <v>379</v>
      </c>
      <c r="O176" s="1">
        <v>135.69999999999999</v>
      </c>
      <c r="P176" s="1">
        <v>139.19999999999999</v>
      </c>
      <c r="Q176" s="1">
        <v>13.24</v>
      </c>
      <c r="R176" s="1">
        <v>69.599999999999994</v>
      </c>
      <c r="S176" s="1">
        <v>17.010000000000002</v>
      </c>
      <c r="T176" s="1">
        <v>4.6500000000000004</v>
      </c>
      <c r="U176" s="1">
        <v>52</v>
      </c>
    </row>
    <row r="177" spans="1:21">
      <c r="A177" s="32">
        <v>54</v>
      </c>
      <c r="B177" s="1">
        <v>1.4555</v>
      </c>
      <c r="C177" s="108">
        <f t="shared" si="15"/>
        <v>211.10280900000001</v>
      </c>
      <c r="D177" s="1">
        <v>1083.2</v>
      </c>
      <c r="E177" s="1">
        <f t="shared" si="16"/>
        <v>74.019245003700959</v>
      </c>
      <c r="F177" s="1">
        <v>1.3509999999999999E-2</v>
      </c>
      <c r="G177" s="1">
        <v>277.89</v>
      </c>
      <c r="H177" s="1">
        <v>424.83</v>
      </c>
      <c r="I177" s="1">
        <v>1.2563</v>
      </c>
      <c r="J177" s="1">
        <v>1.7055</v>
      </c>
      <c r="K177" s="1">
        <v>1.6</v>
      </c>
      <c r="L177" s="1">
        <v>1.296</v>
      </c>
      <c r="M177" s="1">
        <v>1.3859999999999999</v>
      </c>
      <c r="N177" s="1">
        <v>370</v>
      </c>
      <c r="O177" s="1">
        <v>134.69999999999999</v>
      </c>
      <c r="P177" s="1">
        <v>135.4</v>
      </c>
      <c r="Q177" s="1">
        <v>13.37</v>
      </c>
      <c r="R177" s="1">
        <v>68.7</v>
      </c>
      <c r="S177" s="1">
        <v>17.309999999999999</v>
      </c>
      <c r="T177" s="1">
        <v>4.41</v>
      </c>
      <c r="U177" s="1">
        <v>54</v>
      </c>
    </row>
    <row r="178" spans="1:21">
      <c r="A178" s="32">
        <v>56</v>
      </c>
      <c r="B178" s="1">
        <v>1.5282</v>
      </c>
      <c r="C178" s="108">
        <f t="shared" si="15"/>
        <v>221.6470716</v>
      </c>
      <c r="D178" s="1">
        <v>1073.4000000000001</v>
      </c>
      <c r="E178" s="1">
        <f t="shared" si="16"/>
        <v>78.247261345852891</v>
      </c>
      <c r="F178" s="1">
        <v>1.278E-2</v>
      </c>
      <c r="G178" s="1">
        <v>281.06</v>
      </c>
      <c r="H178" s="1">
        <v>425.47</v>
      </c>
      <c r="I178" s="1">
        <v>1.2658</v>
      </c>
      <c r="J178" s="1">
        <v>1.7044999999999999</v>
      </c>
      <c r="K178" s="1">
        <v>1.6180000000000001</v>
      </c>
      <c r="L178" s="1">
        <v>1.3240000000000001</v>
      </c>
      <c r="M178" s="1">
        <v>1.405</v>
      </c>
      <c r="N178" s="1">
        <v>360</v>
      </c>
      <c r="O178" s="1">
        <v>133.80000000000001</v>
      </c>
      <c r="P178" s="1">
        <v>131.6</v>
      </c>
      <c r="Q178" s="1">
        <v>13.51</v>
      </c>
      <c r="R178" s="1">
        <v>67.8</v>
      </c>
      <c r="S178" s="1">
        <v>17.63</v>
      </c>
      <c r="T178" s="1">
        <v>4.18</v>
      </c>
      <c r="U178" s="1">
        <v>56</v>
      </c>
    </row>
    <row r="179" spans="1:21">
      <c r="A179" s="32">
        <v>58</v>
      </c>
      <c r="B179" s="1">
        <v>1.6035999999999999</v>
      </c>
      <c r="C179" s="108">
        <f t="shared" si="15"/>
        <v>232.5829368</v>
      </c>
      <c r="D179" s="1">
        <v>1063.2</v>
      </c>
      <c r="E179" s="1">
        <f t="shared" si="16"/>
        <v>82.712985938792386</v>
      </c>
      <c r="F179" s="1">
        <v>1.209E-2</v>
      </c>
      <c r="G179" s="1">
        <v>284.27</v>
      </c>
      <c r="H179" s="1">
        <v>426.07</v>
      </c>
      <c r="I179" s="1">
        <v>1.2753000000000001</v>
      </c>
      <c r="J179" s="1">
        <v>1.7035</v>
      </c>
      <c r="K179" s="1">
        <v>1.6379999999999999</v>
      </c>
      <c r="L179" s="1">
        <v>1.3540000000000001</v>
      </c>
      <c r="M179" s="1">
        <v>1.425</v>
      </c>
      <c r="N179" s="1">
        <v>350</v>
      </c>
      <c r="O179" s="1">
        <v>132.69999999999999</v>
      </c>
      <c r="P179" s="1">
        <v>127.9</v>
      </c>
      <c r="Q179" s="1">
        <v>13.65</v>
      </c>
      <c r="R179" s="1">
        <v>67</v>
      </c>
      <c r="S179" s="1">
        <v>17.96</v>
      </c>
      <c r="T179" s="1">
        <v>3.95</v>
      </c>
      <c r="U179" s="1">
        <v>58</v>
      </c>
    </row>
    <row r="180" spans="1:21">
      <c r="A180" s="32">
        <v>60</v>
      </c>
      <c r="B180" s="1">
        <v>1.6818</v>
      </c>
      <c r="C180" s="108">
        <f t="shared" si="15"/>
        <v>243.92490840000002</v>
      </c>
      <c r="D180" s="1">
        <v>1052.9000000000001</v>
      </c>
      <c r="E180" s="1">
        <f t="shared" si="16"/>
        <v>87.412587412587413</v>
      </c>
      <c r="F180" s="1">
        <v>1.1440000000000001E-2</v>
      </c>
      <c r="G180" s="1">
        <v>287.5</v>
      </c>
      <c r="H180" s="1">
        <v>426.63</v>
      </c>
      <c r="I180" s="1">
        <v>1.2847999999999999</v>
      </c>
      <c r="J180" s="1">
        <v>1.7023999999999999</v>
      </c>
      <c r="K180" s="1">
        <v>1.66</v>
      </c>
      <c r="L180" s="1">
        <v>1.387</v>
      </c>
      <c r="M180" s="1">
        <v>1.448</v>
      </c>
      <c r="N180" s="1">
        <v>340</v>
      </c>
      <c r="O180" s="1">
        <v>131.69999999999999</v>
      </c>
      <c r="P180" s="1">
        <v>124.2</v>
      </c>
      <c r="Q180" s="1">
        <v>13.79</v>
      </c>
      <c r="R180" s="1">
        <v>66.099999999999994</v>
      </c>
      <c r="S180" s="1">
        <v>18.309999999999999</v>
      </c>
      <c r="T180" s="1">
        <v>3.72</v>
      </c>
      <c r="U180" s="1">
        <v>60</v>
      </c>
    </row>
    <row r="181" spans="1:21">
      <c r="A181" s="32">
        <v>62</v>
      </c>
      <c r="B181" s="1">
        <v>1.7627999999999999</v>
      </c>
      <c r="C181" s="108">
        <f t="shared" si="15"/>
        <v>255.67298640000001</v>
      </c>
      <c r="D181" s="1">
        <v>1042.2</v>
      </c>
      <c r="E181" s="1">
        <f t="shared" si="16"/>
        <v>92.336103416435833</v>
      </c>
      <c r="F181" s="1">
        <v>1.0829999999999999E-2</v>
      </c>
      <c r="G181" s="1">
        <v>290.77999999999997</v>
      </c>
      <c r="H181" s="1">
        <v>427.14</v>
      </c>
      <c r="I181" s="1">
        <v>1.2944</v>
      </c>
      <c r="J181" s="1">
        <v>1.7013</v>
      </c>
      <c r="K181" s="1">
        <v>1.6839999999999999</v>
      </c>
      <c r="L181" s="1">
        <v>1.4219999999999999</v>
      </c>
      <c r="M181" s="1">
        <v>1.4730000000000001</v>
      </c>
      <c r="N181" s="1">
        <v>331</v>
      </c>
      <c r="O181" s="1">
        <v>130.5</v>
      </c>
      <c r="P181" s="1">
        <v>120.6</v>
      </c>
      <c r="Q181" s="1">
        <v>13.95</v>
      </c>
      <c r="R181" s="1">
        <v>65.2</v>
      </c>
      <c r="S181" s="1">
        <v>18.68</v>
      </c>
      <c r="T181" s="1">
        <v>3.49</v>
      </c>
      <c r="U181" s="1">
        <v>62</v>
      </c>
    </row>
    <row r="182" spans="1:21">
      <c r="A182" s="32">
        <v>64</v>
      </c>
      <c r="B182" s="1">
        <v>1.8467</v>
      </c>
      <c r="C182" s="108">
        <f t="shared" si="15"/>
        <v>267.84167460000003</v>
      </c>
      <c r="D182" s="1">
        <v>1031.2</v>
      </c>
      <c r="E182" s="1">
        <f t="shared" si="16"/>
        <v>97.656249999999986</v>
      </c>
      <c r="F182" s="1">
        <v>1.0240000000000001E-2</v>
      </c>
      <c r="G182" s="1">
        <v>294.08999999999997</v>
      </c>
      <c r="H182" s="1">
        <v>427.61</v>
      </c>
      <c r="I182" s="1">
        <v>1.304</v>
      </c>
      <c r="J182" s="1">
        <v>1.7</v>
      </c>
      <c r="K182" s="1">
        <v>1.71</v>
      </c>
      <c r="L182" s="1">
        <v>1.4610000000000001</v>
      </c>
      <c r="M182" s="1">
        <v>1.5009999999999999</v>
      </c>
      <c r="N182" s="1">
        <v>321</v>
      </c>
      <c r="O182" s="1">
        <v>129.4</v>
      </c>
      <c r="P182" s="1">
        <v>117</v>
      </c>
      <c r="Q182" s="1">
        <v>14.11</v>
      </c>
      <c r="R182" s="1">
        <v>64.3</v>
      </c>
      <c r="S182" s="1">
        <v>19.07</v>
      </c>
      <c r="T182" s="1">
        <v>3.27</v>
      </c>
      <c r="U182" s="1">
        <v>64</v>
      </c>
    </row>
    <row r="183" spans="1:21">
      <c r="A183" s="32">
        <v>66</v>
      </c>
      <c r="B183" s="1">
        <v>1.9337</v>
      </c>
      <c r="C183" s="108">
        <f t="shared" si="15"/>
        <v>280.45998059999999</v>
      </c>
      <c r="D183" s="1">
        <v>1020</v>
      </c>
      <c r="E183" s="1">
        <f t="shared" si="16"/>
        <v>103.19917440660474</v>
      </c>
      <c r="F183" s="1">
        <v>9.6900000000000007E-3</v>
      </c>
      <c r="G183" s="1">
        <v>297.44</v>
      </c>
      <c r="H183" s="1">
        <v>428.02</v>
      </c>
      <c r="I183" s="1">
        <v>1.3137000000000001</v>
      </c>
      <c r="J183" s="1">
        <v>1.6987000000000001</v>
      </c>
      <c r="K183" s="1">
        <v>1.738</v>
      </c>
      <c r="L183" s="1">
        <v>1.504</v>
      </c>
      <c r="M183" s="1">
        <v>1.532</v>
      </c>
      <c r="N183" s="1">
        <v>311</v>
      </c>
      <c r="O183" s="1">
        <v>128.1</v>
      </c>
      <c r="P183" s="1">
        <v>113.5</v>
      </c>
      <c r="Q183" s="1">
        <v>14.28</v>
      </c>
      <c r="R183" s="1">
        <v>63.4</v>
      </c>
      <c r="S183" s="1">
        <v>19.5</v>
      </c>
      <c r="T183" s="1">
        <v>3.05</v>
      </c>
      <c r="U183" s="1">
        <v>66</v>
      </c>
    </row>
    <row r="184" spans="1:21">
      <c r="A184" s="32">
        <v>68</v>
      </c>
      <c r="B184" s="1">
        <v>2.0236999999999998</v>
      </c>
      <c r="C184" s="108">
        <f t="shared" si="15"/>
        <v>293.51340060000001</v>
      </c>
      <c r="D184" s="1">
        <v>1008.3</v>
      </c>
      <c r="E184" s="1">
        <f t="shared" si="16"/>
        <v>109.1703056768559</v>
      </c>
      <c r="F184" s="1">
        <v>9.1599999999999997E-3</v>
      </c>
      <c r="G184" s="1">
        <v>300.83999999999997</v>
      </c>
      <c r="H184" s="1">
        <v>428.36</v>
      </c>
      <c r="I184" s="1">
        <v>1.3233999999999999</v>
      </c>
      <c r="J184" s="1">
        <v>1.6972</v>
      </c>
      <c r="K184" s="1">
        <v>1.7689999999999999</v>
      </c>
      <c r="L184" s="1">
        <v>1.552</v>
      </c>
      <c r="M184" s="1">
        <v>1.5669999999999999</v>
      </c>
      <c r="N184" s="1">
        <v>301</v>
      </c>
      <c r="O184" s="1">
        <v>126.8</v>
      </c>
      <c r="P184" s="1">
        <v>109.9</v>
      </c>
      <c r="Q184" s="1">
        <v>14.46</v>
      </c>
      <c r="R184" s="1">
        <v>62.6</v>
      </c>
      <c r="S184" s="1">
        <v>19.95</v>
      </c>
      <c r="T184" s="1">
        <v>2.83</v>
      </c>
      <c r="U184" s="1">
        <v>68</v>
      </c>
    </row>
    <row r="185" spans="1:21">
      <c r="A185" s="32">
        <v>70</v>
      </c>
      <c r="B185" s="1">
        <v>2.1168</v>
      </c>
      <c r="C185" s="108">
        <f t="shared" si="15"/>
        <v>307.01643840000003</v>
      </c>
      <c r="D185" s="1">
        <v>996.2</v>
      </c>
      <c r="E185" s="1">
        <f t="shared" si="16"/>
        <v>115.60693641618498</v>
      </c>
      <c r="F185" s="1">
        <v>8.6499999999999997E-3</v>
      </c>
      <c r="G185" s="1">
        <v>304.27999999999997</v>
      </c>
      <c r="H185" s="1">
        <v>428.65</v>
      </c>
      <c r="I185" s="1">
        <v>1.3331999999999999</v>
      </c>
      <c r="J185" s="1">
        <v>1.6956</v>
      </c>
      <c r="K185" s="1">
        <v>1.804</v>
      </c>
      <c r="L185" s="1">
        <v>1.605</v>
      </c>
      <c r="M185" s="1">
        <v>1.607</v>
      </c>
      <c r="N185" s="1">
        <v>290</v>
      </c>
      <c r="O185" s="1">
        <v>125.5</v>
      </c>
      <c r="P185" s="1">
        <v>106.4</v>
      </c>
      <c r="Q185" s="1">
        <v>14.65</v>
      </c>
      <c r="R185" s="1">
        <v>61.7</v>
      </c>
      <c r="S185" s="1">
        <v>20.45</v>
      </c>
      <c r="T185" s="1">
        <v>2.61</v>
      </c>
      <c r="U185" s="1">
        <v>70</v>
      </c>
    </row>
    <row r="186" spans="1:21">
      <c r="A186" s="32">
        <v>72</v>
      </c>
      <c r="B186" s="1">
        <v>2.2132000000000001</v>
      </c>
      <c r="C186" s="108">
        <f t="shared" si="15"/>
        <v>320.99810160000004</v>
      </c>
      <c r="D186" s="1">
        <v>983.8</v>
      </c>
      <c r="E186" s="1">
        <f t="shared" si="16"/>
        <v>122.39902080783354</v>
      </c>
      <c r="F186" s="1">
        <v>8.1700000000000002E-3</v>
      </c>
      <c r="G186" s="1">
        <v>307.77999999999997</v>
      </c>
      <c r="H186" s="1">
        <v>428.86</v>
      </c>
      <c r="I186" s="1">
        <v>1.343</v>
      </c>
      <c r="J186" s="1">
        <v>1.6939</v>
      </c>
      <c r="K186" s="1">
        <v>1.843</v>
      </c>
      <c r="L186" s="1">
        <v>1.665</v>
      </c>
      <c r="M186" s="1">
        <v>1.653</v>
      </c>
      <c r="N186" s="1">
        <v>280</v>
      </c>
      <c r="O186" s="1">
        <v>124</v>
      </c>
      <c r="P186" s="1">
        <v>102.9</v>
      </c>
      <c r="Q186" s="1">
        <v>14.85</v>
      </c>
      <c r="R186" s="1">
        <v>60.8</v>
      </c>
      <c r="S186" s="1">
        <v>20.98</v>
      </c>
      <c r="T186" s="1">
        <v>2.4</v>
      </c>
      <c r="U186" s="1">
        <v>72</v>
      </c>
    </row>
    <row r="187" spans="1:21">
      <c r="A187" s="32">
        <v>74</v>
      </c>
      <c r="B187" s="1">
        <v>2.3130000000000002</v>
      </c>
      <c r="C187" s="108">
        <f t="shared" si="15"/>
        <v>335.47289400000005</v>
      </c>
      <c r="D187" s="1">
        <v>970.8</v>
      </c>
      <c r="E187" s="1">
        <f t="shared" si="16"/>
        <v>129.70168612191958</v>
      </c>
      <c r="F187" s="1">
        <v>7.7099999999999998E-3</v>
      </c>
      <c r="G187" s="1">
        <v>311.33</v>
      </c>
      <c r="H187" s="1">
        <v>429</v>
      </c>
      <c r="I187" s="1">
        <v>1.353</v>
      </c>
      <c r="J187" s="1">
        <v>1.6919999999999999</v>
      </c>
      <c r="K187" s="1">
        <v>1.887</v>
      </c>
      <c r="L187" s="1">
        <v>1.734</v>
      </c>
      <c r="M187" s="1">
        <v>1.7050000000000001</v>
      </c>
      <c r="N187" s="1">
        <v>269</v>
      </c>
      <c r="O187" s="1">
        <v>122.6</v>
      </c>
      <c r="P187" s="1">
        <v>99.5</v>
      </c>
      <c r="Q187" s="1">
        <v>15.07</v>
      </c>
      <c r="R187" s="1">
        <v>59.9</v>
      </c>
      <c r="S187" s="1">
        <v>21.56</v>
      </c>
      <c r="T187" s="1">
        <v>2.2000000000000002</v>
      </c>
      <c r="U187" s="1">
        <v>74</v>
      </c>
    </row>
    <row r="188" spans="1:21">
      <c r="A188" s="32">
        <v>76</v>
      </c>
      <c r="B188" s="1">
        <v>2.4161000000000001</v>
      </c>
      <c r="C188" s="108">
        <f t="shared" si="15"/>
        <v>350.42631180000006</v>
      </c>
      <c r="D188" s="1">
        <v>957.3</v>
      </c>
      <c r="E188" s="1">
        <f t="shared" si="16"/>
        <v>137.5515818431912</v>
      </c>
      <c r="F188" s="1">
        <v>7.2700000000000004E-3</v>
      </c>
      <c r="G188" s="1">
        <v>314.94</v>
      </c>
      <c r="H188" s="1">
        <v>429.04</v>
      </c>
      <c r="I188" s="1">
        <v>1.3631</v>
      </c>
      <c r="J188" s="1">
        <v>1.6899</v>
      </c>
      <c r="K188" s="1">
        <v>1.9379999999999999</v>
      </c>
      <c r="L188" s="1">
        <v>1.8120000000000001</v>
      </c>
      <c r="M188" s="1">
        <v>1.766</v>
      </c>
      <c r="N188" s="1">
        <v>259</v>
      </c>
      <c r="O188" s="1">
        <v>121</v>
      </c>
      <c r="P188" s="1">
        <v>96</v>
      </c>
      <c r="Q188" s="1">
        <v>15.3</v>
      </c>
      <c r="R188" s="1">
        <v>59</v>
      </c>
      <c r="S188" s="1">
        <v>22.21</v>
      </c>
      <c r="T188" s="1">
        <v>1.99</v>
      </c>
      <c r="U188" s="1">
        <v>76</v>
      </c>
    </row>
    <row r="189" spans="1:21">
      <c r="A189" s="32">
        <v>78</v>
      </c>
      <c r="B189" s="1">
        <v>2.5228000000000002</v>
      </c>
      <c r="C189" s="108">
        <f t="shared" si="15"/>
        <v>365.90186640000007</v>
      </c>
      <c r="D189" s="1">
        <v>943.1</v>
      </c>
      <c r="E189" s="1">
        <f t="shared" si="16"/>
        <v>145.98540145985402</v>
      </c>
      <c r="F189" s="1">
        <v>6.8500000000000002E-3</v>
      </c>
      <c r="G189" s="1">
        <v>318.63</v>
      </c>
      <c r="H189" s="1">
        <v>428.98</v>
      </c>
      <c r="I189" s="1">
        <v>1.3733</v>
      </c>
      <c r="J189" s="1">
        <v>1.6876</v>
      </c>
      <c r="K189" s="1">
        <v>1.996</v>
      </c>
      <c r="L189" s="1">
        <v>1.9039999999999999</v>
      </c>
      <c r="M189" s="1">
        <v>1.8380000000000001</v>
      </c>
      <c r="N189" s="1">
        <v>248</v>
      </c>
      <c r="O189" s="1">
        <v>119.4</v>
      </c>
      <c r="P189" s="1">
        <v>92.5</v>
      </c>
      <c r="Q189" s="1">
        <v>15.56</v>
      </c>
      <c r="R189" s="1">
        <v>58.1</v>
      </c>
      <c r="S189" s="1">
        <v>22.92</v>
      </c>
      <c r="T189" s="1">
        <v>1.8</v>
      </c>
      <c r="U189" s="1">
        <v>78</v>
      </c>
    </row>
    <row r="190" spans="1:21">
      <c r="A190" s="32">
        <v>80</v>
      </c>
      <c r="B190" s="1">
        <v>2.6332</v>
      </c>
      <c r="C190" s="108">
        <f t="shared" ref="C190:C195" si="17">B190*145.038</f>
        <v>381.91406160000003</v>
      </c>
      <c r="D190" s="1">
        <v>928.2</v>
      </c>
      <c r="E190" s="1">
        <f t="shared" ref="E190:E195" si="18">1/F190</f>
        <v>155.03875968992247</v>
      </c>
      <c r="F190" s="1">
        <v>6.45E-3</v>
      </c>
      <c r="G190" s="1">
        <v>322.39</v>
      </c>
      <c r="H190" s="1">
        <v>428.81</v>
      </c>
      <c r="I190" s="1">
        <v>1.3835999999999999</v>
      </c>
      <c r="J190" s="1">
        <v>1.6850000000000001</v>
      </c>
      <c r="K190" s="1">
        <v>2.0649999999999999</v>
      </c>
      <c r="L190" s="1">
        <v>2.012</v>
      </c>
      <c r="M190" s="1">
        <v>1.9239999999999999</v>
      </c>
      <c r="N190" s="1">
        <v>237</v>
      </c>
      <c r="O190" s="1">
        <v>117.7</v>
      </c>
      <c r="P190" s="1">
        <v>89</v>
      </c>
      <c r="Q190" s="1">
        <v>15.84</v>
      </c>
      <c r="R190" s="1">
        <v>57.2</v>
      </c>
      <c r="S190" s="1">
        <v>23.72</v>
      </c>
      <c r="T190" s="1">
        <v>1.6</v>
      </c>
      <c r="U190" s="1">
        <v>80</v>
      </c>
    </row>
    <row r="191" spans="1:21">
      <c r="A191" s="32">
        <v>85</v>
      </c>
      <c r="B191" s="1">
        <v>2.9258000000000002</v>
      </c>
      <c r="C191" s="108">
        <f t="shared" si="17"/>
        <v>424.35218040000007</v>
      </c>
      <c r="D191" s="1">
        <v>887.2</v>
      </c>
      <c r="E191" s="1">
        <f t="shared" si="18"/>
        <v>181.81818181818184</v>
      </c>
      <c r="F191" s="1">
        <v>5.4999999999999997E-3</v>
      </c>
      <c r="G191" s="1">
        <v>332.22</v>
      </c>
      <c r="H191" s="1">
        <v>427.76</v>
      </c>
      <c r="I191" s="1">
        <v>1.4104000000000001</v>
      </c>
      <c r="J191" s="1">
        <v>1.6771</v>
      </c>
      <c r="K191" s="1">
        <v>2.306</v>
      </c>
      <c r="L191" s="1">
        <v>2.3969999999999998</v>
      </c>
      <c r="M191" s="1">
        <v>2.2320000000000002</v>
      </c>
      <c r="N191" s="1">
        <v>207</v>
      </c>
      <c r="O191" s="1">
        <v>113.1</v>
      </c>
      <c r="P191" s="1">
        <v>80.2</v>
      </c>
      <c r="Q191" s="1">
        <v>16.670000000000002</v>
      </c>
      <c r="R191" s="1">
        <v>54.9</v>
      </c>
      <c r="S191" s="1">
        <v>26.22</v>
      </c>
      <c r="T191" s="1">
        <v>1.1399999999999999</v>
      </c>
      <c r="U191" s="1">
        <v>85</v>
      </c>
    </row>
    <row r="192" spans="1:21">
      <c r="A192" s="32">
        <v>90</v>
      </c>
      <c r="B192" s="1">
        <v>3.2442000000000002</v>
      </c>
      <c r="C192" s="108">
        <f t="shared" si="17"/>
        <v>470.53227960000004</v>
      </c>
      <c r="D192" s="1">
        <v>837.8</v>
      </c>
      <c r="E192" s="1">
        <f t="shared" si="18"/>
        <v>216.91973969631235</v>
      </c>
      <c r="F192" s="1">
        <v>4.6100000000000004E-3</v>
      </c>
      <c r="G192" s="1">
        <v>342.93</v>
      </c>
      <c r="H192" s="1">
        <v>425.42</v>
      </c>
      <c r="I192" s="1">
        <v>1.4390000000000001</v>
      </c>
      <c r="J192" s="1">
        <v>1.6661999999999999</v>
      </c>
      <c r="K192" s="1">
        <v>2.7559999999999998</v>
      </c>
      <c r="L192" s="1">
        <v>3.121</v>
      </c>
      <c r="M192" s="1">
        <v>2.82</v>
      </c>
      <c r="N192" s="1">
        <v>176</v>
      </c>
      <c r="O192" s="1">
        <v>107.9</v>
      </c>
      <c r="P192" s="1">
        <v>70.900000000000006</v>
      </c>
      <c r="Q192" s="1">
        <v>17.809999999999999</v>
      </c>
      <c r="R192" s="1">
        <v>52.8</v>
      </c>
      <c r="S192" s="1">
        <v>29.91</v>
      </c>
      <c r="T192" s="1">
        <v>0.71</v>
      </c>
      <c r="U192" s="1">
        <v>90</v>
      </c>
    </row>
    <row r="193" spans="1:23">
      <c r="A193" s="32">
        <v>95</v>
      </c>
      <c r="B193" s="1">
        <v>3.5912000000000002</v>
      </c>
      <c r="C193" s="108">
        <f t="shared" si="17"/>
        <v>520.86046560000011</v>
      </c>
      <c r="D193" s="1">
        <v>772.7</v>
      </c>
      <c r="E193" s="1">
        <f t="shared" si="18"/>
        <v>267.37967914438502</v>
      </c>
      <c r="F193" s="1">
        <v>3.7399999999999998E-3</v>
      </c>
      <c r="G193" s="1">
        <v>355.25</v>
      </c>
      <c r="H193" s="1">
        <v>420.67</v>
      </c>
      <c r="I193" s="1">
        <v>1.4715</v>
      </c>
      <c r="J193" s="1">
        <v>1.6492</v>
      </c>
      <c r="K193" s="1">
        <v>3.9380000000000002</v>
      </c>
      <c r="L193" s="1">
        <v>5.0199999999999996</v>
      </c>
      <c r="M193" s="1">
        <v>4.3689999999999998</v>
      </c>
      <c r="N193" s="1">
        <v>141</v>
      </c>
      <c r="O193" s="1">
        <v>101.9</v>
      </c>
      <c r="P193" s="1">
        <v>60.4</v>
      </c>
      <c r="Q193" s="1">
        <v>19.61</v>
      </c>
      <c r="R193" s="1">
        <v>51.7</v>
      </c>
      <c r="S193" s="1">
        <v>36.4</v>
      </c>
      <c r="T193" s="1">
        <v>0.33</v>
      </c>
      <c r="U193" s="1">
        <v>95</v>
      </c>
    </row>
    <row r="194" spans="1:23">
      <c r="A194" s="32">
        <v>100</v>
      </c>
      <c r="B194" s="1">
        <v>3.9723999999999999</v>
      </c>
      <c r="C194" s="108">
        <f t="shared" si="17"/>
        <v>576.14895120000006</v>
      </c>
      <c r="D194" s="1">
        <v>651.20000000000005</v>
      </c>
      <c r="E194" s="1">
        <f t="shared" si="18"/>
        <v>373.13432835820896</v>
      </c>
      <c r="F194" s="1">
        <v>2.6800000000000001E-3</v>
      </c>
      <c r="G194" s="1">
        <v>373.3</v>
      </c>
      <c r="H194" s="1">
        <v>407.68</v>
      </c>
      <c r="I194" s="1">
        <v>1.5187999999999999</v>
      </c>
      <c r="J194" s="1">
        <v>1.6109</v>
      </c>
      <c r="K194" s="1">
        <v>17.59</v>
      </c>
      <c r="L194" s="1">
        <v>25.35</v>
      </c>
      <c r="M194" s="1">
        <v>20.81</v>
      </c>
      <c r="N194" s="1">
        <v>101</v>
      </c>
      <c r="O194" s="1">
        <v>94</v>
      </c>
      <c r="P194" s="1">
        <v>45.1</v>
      </c>
      <c r="Q194" s="1">
        <v>24.21</v>
      </c>
      <c r="R194" s="1">
        <v>59.9</v>
      </c>
      <c r="S194" s="1">
        <v>60.58</v>
      </c>
      <c r="T194" s="1">
        <v>0.04</v>
      </c>
      <c r="U194" s="1">
        <v>100</v>
      </c>
    </row>
    <row r="195" spans="1:23">
      <c r="A195" s="32">
        <v>101.06</v>
      </c>
      <c r="B195" s="1">
        <v>4.0593000000000004</v>
      </c>
      <c r="C195" s="108">
        <f t="shared" si="17"/>
        <v>588.75275340000007</v>
      </c>
      <c r="D195" s="1">
        <v>511.9</v>
      </c>
      <c r="E195" s="1">
        <f t="shared" si="18"/>
        <v>512.82051282051282</v>
      </c>
      <c r="F195" s="1">
        <v>1.9499999999999999E-3</v>
      </c>
      <c r="G195" s="1">
        <v>389.64</v>
      </c>
      <c r="H195" s="1">
        <v>389.64</v>
      </c>
      <c r="I195" s="1">
        <v>1.5621</v>
      </c>
      <c r="J195" s="1">
        <v>1.5621</v>
      </c>
      <c r="K195" s="1" t="s">
        <v>310</v>
      </c>
      <c r="L195" s="1" t="s">
        <v>310</v>
      </c>
      <c r="M195" s="1" t="s">
        <v>310</v>
      </c>
      <c r="N195" s="1">
        <v>0</v>
      </c>
      <c r="O195" s="1">
        <v>0</v>
      </c>
      <c r="P195" s="1" t="s">
        <v>311</v>
      </c>
      <c r="Q195" s="1" t="s">
        <v>311</v>
      </c>
      <c r="R195" s="1" t="s">
        <v>310</v>
      </c>
      <c r="S195" s="1" t="s">
        <v>310</v>
      </c>
      <c r="T195" s="1">
        <v>0</v>
      </c>
      <c r="U195" s="1">
        <v>101.06</v>
      </c>
    </row>
    <row r="196" spans="1:23">
      <c r="A196" s="1"/>
      <c r="B196" s="1"/>
      <c r="C196" s="108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3">
      <c r="A197" s="1"/>
      <c r="B197" s="1"/>
      <c r="C197" s="108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3">
      <c r="A198" s="110" t="s">
        <v>313</v>
      </c>
      <c r="B198" s="110" t="s">
        <v>331</v>
      </c>
      <c r="C198" s="109" t="s">
        <v>467</v>
      </c>
      <c r="D198" s="109" t="s">
        <v>468</v>
      </c>
      <c r="E198" s="110" t="s">
        <v>314</v>
      </c>
      <c r="F198" s="110" t="s">
        <v>315</v>
      </c>
      <c r="G198" s="110" t="s">
        <v>332</v>
      </c>
      <c r="H198" s="110" t="s">
        <v>316</v>
      </c>
      <c r="I198" s="110" t="s">
        <v>317</v>
      </c>
      <c r="J198" s="110" t="s">
        <v>318</v>
      </c>
      <c r="K198" s="110" t="s">
        <v>319</v>
      </c>
      <c r="L198" s="110" t="s">
        <v>320</v>
      </c>
      <c r="M198" s="110" t="s">
        <v>321</v>
      </c>
      <c r="N198" s="111" t="s">
        <v>322</v>
      </c>
      <c r="O198" s="110" t="s">
        <v>323</v>
      </c>
      <c r="P198" s="110" t="s">
        <v>324</v>
      </c>
      <c r="Q198" s="110" t="s">
        <v>325</v>
      </c>
      <c r="R198" s="110" t="s">
        <v>326</v>
      </c>
      <c r="S198" s="110" t="s">
        <v>327</v>
      </c>
      <c r="T198" s="110" t="s">
        <v>328</v>
      </c>
      <c r="U198" s="110" t="s">
        <v>329</v>
      </c>
      <c r="V198" s="113" t="s">
        <v>469</v>
      </c>
      <c r="W198" s="116"/>
    </row>
    <row r="199" spans="1:23">
      <c r="A199" s="1">
        <v>0.01</v>
      </c>
      <c r="B199" s="108">
        <f>V199*145.038</f>
        <v>1.4503800000000002</v>
      </c>
      <c r="C199" s="1" t="s">
        <v>530</v>
      </c>
      <c r="D199" s="1" t="s">
        <v>531</v>
      </c>
      <c r="E199" s="1">
        <v>1460.6</v>
      </c>
      <c r="F199" s="32">
        <f>1/G199</f>
        <v>0.47644457996645834</v>
      </c>
      <c r="G199" s="1">
        <v>2.0988799999999999</v>
      </c>
      <c r="H199" s="1">
        <v>76.56</v>
      </c>
      <c r="I199" s="1">
        <v>378.76</v>
      </c>
      <c r="J199" s="1">
        <v>0.45879999999999999</v>
      </c>
      <c r="K199" s="1">
        <v>2.0926999999999998</v>
      </c>
      <c r="L199" s="1">
        <v>1.3440000000000001</v>
      </c>
      <c r="M199" s="1">
        <v>0.66800000000000004</v>
      </c>
      <c r="N199" s="1">
        <v>1.2270000000000001</v>
      </c>
      <c r="O199" s="1">
        <v>1004</v>
      </c>
      <c r="P199" s="1">
        <v>159.69999999999999</v>
      </c>
      <c r="Q199" s="1">
        <v>669.9</v>
      </c>
      <c r="R199" s="1">
        <v>8.2899999999999991</v>
      </c>
      <c r="S199" s="1">
        <v>177.3</v>
      </c>
      <c r="T199" s="1">
        <v>7.44</v>
      </c>
      <c r="U199" s="1">
        <v>24.72</v>
      </c>
      <c r="V199" s="1">
        <v>0.01</v>
      </c>
      <c r="W199" s="1"/>
    </row>
    <row r="200" spans="1:23">
      <c r="A200" s="1">
        <v>0.02</v>
      </c>
      <c r="B200" s="108">
        <f t="shared" ref="B200:B262" si="19">V200*145.038</f>
        <v>2.9007600000000004</v>
      </c>
      <c r="C200" s="1" t="s">
        <v>532</v>
      </c>
      <c r="D200" s="1" t="s">
        <v>533</v>
      </c>
      <c r="E200" s="1">
        <v>1432.9</v>
      </c>
      <c r="F200" s="32">
        <f t="shared" ref="F200:F262" si="20">1/G200</f>
        <v>0.9119178544396721</v>
      </c>
      <c r="G200" s="1">
        <v>1.09659</v>
      </c>
      <c r="H200" s="1">
        <v>89.26</v>
      </c>
      <c r="I200" s="1">
        <v>384.25</v>
      </c>
      <c r="J200" s="1">
        <v>0.52580000000000005</v>
      </c>
      <c r="K200" s="1">
        <v>2.0432000000000001</v>
      </c>
      <c r="L200" s="1">
        <v>1.345</v>
      </c>
      <c r="M200" s="1">
        <v>0.69599999999999995</v>
      </c>
      <c r="N200" s="1">
        <v>1.228</v>
      </c>
      <c r="O200" s="1">
        <v>958</v>
      </c>
      <c r="P200" s="1">
        <v>162.80000000000001</v>
      </c>
      <c r="Q200" s="1">
        <v>552.9</v>
      </c>
      <c r="R200" s="1">
        <v>8.7100000000000009</v>
      </c>
      <c r="S200" s="1">
        <v>170.8</v>
      </c>
      <c r="T200" s="1">
        <v>7.79</v>
      </c>
      <c r="U200" s="1">
        <v>22.91</v>
      </c>
      <c r="V200" s="1">
        <v>0.02</v>
      </c>
      <c r="W200" s="1"/>
    </row>
    <row r="201" spans="1:23">
      <c r="A201" s="1">
        <v>0.04</v>
      </c>
      <c r="B201" s="108">
        <f t="shared" si="19"/>
        <v>5.8015200000000009</v>
      </c>
      <c r="C201" s="1" t="s">
        <v>534</v>
      </c>
      <c r="D201" s="1" t="s">
        <v>535</v>
      </c>
      <c r="E201" s="1">
        <v>1401.1</v>
      </c>
      <c r="F201" s="32">
        <f t="shared" si="20"/>
        <v>1.7449266258353837</v>
      </c>
      <c r="G201" s="1">
        <v>0.57308999999999999</v>
      </c>
      <c r="H201" s="1">
        <v>103.64</v>
      </c>
      <c r="I201" s="1">
        <v>390.29</v>
      </c>
      <c r="J201" s="1">
        <v>0.5978</v>
      </c>
      <c r="K201" s="1">
        <v>1.9956</v>
      </c>
      <c r="L201" s="1">
        <v>1.351</v>
      </c>
      <c r="M201" s="1">
        <v>0.73399999999999999</v>
      </c>
      <c r="N201" s="1">
        <v>1.2310000000000001</v>
      </c>
      <c r="O201" s="1">
        <v>906</v>
      </c>
      <c r="P201" s="1">
        <v>165.8</v>
      </c>
      <c r="Q201" s="1">
        <v>454.8</v>
      </c>
      <c r="R201" s="1">
        <v>9.17</v>
      </c>
      <c r="S201" s="1">
        <v>163.30000000000001</v>
      </c>
      <c r="T201" s="1">
        <v>8.2100000000000009</v>
      </c>
      <c r="U201" s="1">
        <v>20.9</v>
      </c>
      <c r="V201" s="1">
        <v>0.04</v>
      </c>
      <c r="W201" s="1"/>
    </row>
    <row r="202" spans="1:23">
      <c r="A202" s="1">
        <v>0.06</v>
      </c>
      <c r="B202" s="108">
        <f t="shared" si="19"/>
        <v>8.70228</v>
      </c>
      <c r="C202" s="1" t="s">
        <v>536</v>
      </c>
      <c r="D202" s="1" t="s">
        <v>537</v>
      </c>
      <c r="E202" s="1">
        <v>1380</v>
      </c>
      <c r="F202" s="32">
        <f t="shared" si="20"/>
        <v>2.5514760288827087</v>
      </c>
      <c r="G202" s="1">
        <v>0.39193</v>
      </c>
      <c r="H202" s="1">
        <v>113</v>
      </c>
      <c r="I202" s="1">
        <v>394.1</v>
      </c>
      <c r="J202" s="1">
        <v>0.64259999999999995</v>
      </c>
      <c r="K202" s="1">
        <v>1.9686999999999999</v>
      </c>
      <c r="L202" s="1">
        <v>1.3580000000000001</v>
      </c>
      <c r="M202" s="1">
        <v>0.76200000000000001</v>
      </c>
      <c r="N202" s="1">
        <v>1.2350000000000001</v>
      </c>
      <c r="O202" s="1">
        <v>872</v>
      </c>
      <c r="P202" s="1">
        <v>167.5</v>
      </c>
      <c r="Q202" s="1">
        <v>404.6</v>
      </c>
      <c r="R202" s="1">
        <v>9.4700000000000006</v>
      </c>
      <c r="S202" s="1">
        <v>158.30000000000001</v>
      </c>
      <c r="T202" s="1">
        <v>8.5</v>
      </c>
      <c r="U202" s="1">
        <v>19.62</v>
      </c>
      <c r="V202" s="1">
        <v>0.06</v>
      </c>
      <c r="W202" s="1"/>
    </row>
    <row r="203" spans="1:23">
      <c r="A203" s="1">
        <v>0.08</v>
      </c>
      <c r="B203" s="108">
        <f t="shared" si="19"/>
        <v>11.603040000000002</v>
      </c>
      <c r="C203" s="1" t="s">
        <v>538</v>
      </c>
      <c r="D203" s="1" t="s">
        <v>539</v>
      </c>
      <c r="E203" s="1">
        <v>1363.9</v>
      </c>
      <c r="F203" s="32">
        <f t="shared" si="20"/>
        <v>3.3424694164048399</v>
      </c>
      <c r="G203" s="1">
        <v>0.29918</v>
      </c>
      <c r="H203" s="1">
        <v>120.14</v>
      </c>
      <c r="I203" s="1">
        <v>396.92</v>
      </c>
      <c r="J203" s="1">
        <v>0.67579999999999996</v>
      </c>
      <c r="K203" s="1">
        <v>1.95</v>
      </c>
      <c r="L203" s="1">
        <v>1.3640000000000001</v>
      </c>
      <c r="M203" s="1">
        <v>0.78500000000000003</v>
      </c>
      <c r="N203" s="1">
        <v>1.2390000000000001</v>
      </c>
      <c r="O203" s="1">
        <v>847</v>
      </c>
      <c r="P203" s="1">
        <v>168.7</v>
      </c>
      <c r="Q203" s="1">
        <v>371.8</v>
      </c>
      <c r="R203" s="1">
        <v>9.6999999999999993</v>
      </c>
      <c r="S203" s="1">
        <v>154.6</v>
      </c>
      <c r="T203" s="1">
        <v>8.73</v>
      </c>
      <c r="U203" s="1">
        <v>18.66</v>
      </c>
      <c r="V203" s="1">
        <v>0.08</v>
      </c>
      <c r="W203" s="1"/>
    </row>
    <row r="204" spans="1:23">
      <c r="A204" s="1">
        <v>0.1</v>
      </c>
      <c r="B204" s="108">
        <f t="shared" si="19"/>
        <v>14.503800000000002</v>
      </c>
      <c r="C204" s="1" t="s">
        <v>540</v>
      </c>
      <c r="D204" s="1" t="s">
        <v>541</v>
      </c>
      <c r="E204" s="1">
        <v>1350.5</v>
      </c>
      <c r="F204" s="32">
        <f t="shared" si="20"/>
        <v>4.1226912928759898</v>
      </c>
      <c r="G204" s="1">
        <v>0.24256</v>
      </c>
      <c r="H204" s="1">
        <v>125.99</v>
      </c>
      <c r="I204" s="1">
        <v>399.17</v>
      </c>
      <c r="J204" s="1">
        <v>0.70240000000000002</v>
      </c>
      <c r="K204" s="1">
        <v>1.9358</v>
      </c>
      <c r="L204" s="1">
        <v>1.369</v>
      </c>
      <c r="M204" s="1">
        <v>0.80500000000000005</v>
      </c>
      <c r="N204" s="1">
        <v>1.2430000000000001</v>
      </c>
      <c r="O204" s="1">
        <v>826</v>
      </c>
      <c r="P204" s="1">
        <v>169.5</v>
      </c>
      <c r="Q204" s="1">
        <v>347.8</v>
      </c>
      <c r="R204" s="1">
        <v>9.8800000000000008</v>
      </c>
      <c r="S204" s="1">
        <v>151.5</v>
      </c>
      <c r="T204" s="1">
        <v>8.93</v>
      </c>
      <c r="U204" s="1">
        <v>17.88</v>
      </c>
      <c r="V204" s="1">
        <v>0.1</v>
      </c>
      <c r="W204" s="1"/>
    </row>
    <row r="205" spans="1:23">
      <c r="A205" s="1">
        <v>0.10131999999999999</v>
      </c>
      <c r="B205" s="108">
        <f t="shared" si="19"/>
        <v>14.695250160000001</v>
      </c>
      <c r="C205" s="1" t="s">
        <v>542</v>
      </c>
      <c r="D205" s="1" t="s">
        <v>543</v>
      </c>
      <c r="E205" s="1">
        <v>1349.7</v>
      </c>
      <c r="F205" s="32">
        <f t="shared" si="20"/>
        <v>4.1741453437408689</v>
      </c>
      <c r="G205" s="1">
        <v>0.23957000000000001</v>
      </c>
      <c r="H205" s="1">
        <v>126.34</v>
      </c>
      <c r="I205" s="1">
        <v>399.31</v>
      </c>
      <c r="J205" s="1">
        <v>0.70399999999999996</v>
      </c>
      <c r="K205" s="1">
        <v>1.9350000000000001</v>
      </c>
      <c r="L205" s="1">
        <v>1.37</v>
      </c>
      <c r="M205" s="1">
        <v>0.80700000000000005</v>
      </c>
      <c r="N205" s="1">
        <v>1.244</v>
      </c>
      <c r="O205" s="1">
        <v>824</v>
      </c>
      <c r="P205" s="1">
        <v>169.5</v>
      </c>
      <c r="Q205" s="1">
        <v>346.4</v>
      </c>
      <c r="R205" s="1">
        <v>9.9</v>
      </c>
      <c r="S205" s="1">
        <v>151.30000000000001</v>
      </c>
      <c r="T205" s="1">
        <v>8.94</v>
      </c>
      <c r="U205" s="1">
        <v>17.84</v>
      </c>
      <c r="V205" s="1">
        <v>0.10131999999999999</v>
      </c>
      <c r="W205" s="1"/>
    </row>
    <row r="206" spans="1:23">
      <c r="A206" s="1">
        <v>0.12</v>
      </c>
      <c r="B206" s="108">
        <f t="shared" si="19"/>
        <v>17.40456</v>
      </c>
      <c r="C206" s="1" t="s">
        <v>544</v>
      </c>
      <c r="D206" s="1" t="s">
        <v>545</v>
      </c>
      <c r="E206" s="1">
        <v>1339</v>
      </c>
      <c r="F206" s="32">
        <f t="shared" si="20"/>
        <v>4.8954814706026335</v>
      </c>
      <c r="G206" s="1">
        <v>0.20427000000000001</v>
      </c>
      <c r="H206" s="1">
        <v>130.99</v>
      </c>
      <c r="I206" s="1">
        <v>401.05</v>
      </c>
      <c r="J206" s="1">
        <v>0.72470000000000001</v>
      </c>
      <c r="K206" s="1">
        <v>1.9242999999999999</v>
      </c>
      <c r="L206" s="1">
        <v>1.375</v>
      </c>
      <c r="M206" s="1">
        <v>0.82299999999999995</v>
      </c>
      <c r="N206" s="1">
        <v>1.2470000000000001</v>
      </c>
      <c r="O206" s="1">
        <v>808</v>
      </c>
      <c r="P206" s="1">
        <v>170.1</v>
      </c>
      <c r="Q206" s="1">
        <v>329</v>
      </c>
      <c r="R206" s="1">
        <v>10.039999999999999</v>
      </c>
      <c r="S206" s="1">
        <v>148.9</v>
      </c>
      <c r="T206" s="1">
        <v>9.11</v>
      </c>
      <c r="U206" s="1">
        <v>17.23</v>
      </c>
      <c r="V206" s="1">
        <v>0.12</v>
      </c>
      <c r="W206" s="1"/>
    </row>
    <row r="207" spans="1:23">
      <c r="A207" s="1">
        <v>0.14000000000000001</v>
      </c>
      <c r="B207" s="108">
        <f t="shared" si="19"/>
        <v>20.305320000000002</v>
      </c>
      <c r="C207" s="1" t="s">
        <v>546</v>
      </c>
      <c r="D207" s="1" t="s">
        <v>547</v>
      </c>
      <c r="E207" s="1">
        <v>1328.8</v>
      </c>
      <c r="F207" s="32">
        <f t="shared" si="20"/>
        <v>5.6621935337749845</v>
      </c>
      <c r="G207" s="1">
        <v>0.17660999999999999</v>
      </c>
      <c r="H207" s="1">
        <v>135.38999999999999</v>
      </c>
      <c r="I207" s="1">
        <v>402.67</v>
      </c>
      <c r="J207" s="1">
        <v>0.74409999999999998</v>
      </c>
      <c r="K207" s="1">
        <v>1.9147000000000001</v>
      </c>
      <c r="L207" s="1">
        <v>1.38</v>
      </c>
      <c r="M207" s="1">
        <v>0.83899999999999997</v>
      </c>
      <c r="N207" s="1">
        <v>1.2509999999999999</v>
      </c>
      <c r="O207" s="1">
        <v>792</v>
      </c>
      <c r="P207" s="1">
        <v>170.6</v>
      </c>
      <c r="Q207" s="1">
        <v>313.8</v>
      </c>
      <c r="R207" s="1">
        <v>10.18</v>
      </c>
      <c r="S207" s="1">
        <v>146.6</v>
      </c>
      <c r="T207" s="1">
        <v>9.26</v>
      </c>
      <c r="U207" s="1">
        <v>16.649999999999999</v>
      </c>
      <c r="V207" s="1">
        <v>0.14000000000000001</v>
      </c>
      <c r="W207" s="1"/>
    </row>
    <row r="208" spans="1:23">
      <c r="A208" s="1">
        <v>0.16</v>
      </c>
      <c r="B208" s="108">
        <f t="shared" si="19"/>
        <v>23.206080000000004</v>
      </c>
      <c r="C208" s="1" t="s">
        <v>548</v>
      </c>
      <c r="D208" s="1" t="s">
        <v>549</v>
      </c>
      <c r="E208" s="1">
        <v>1319.6</v>
      </c>
      <c r="F208" s="32">
        <f t="shared" si="20"/>
        <v>6.4246707356247992</v>
      </c>
      <c r="G208" s="1">
        <v>0.15565000000000001</v>
      </c>
      <c r="H208" s="1">
        <v>139.34</v>
      </c>
      <c r="I208" s="1">
        <v>404.09</v>
      </c>
      <c r="J208" s="1">
        <v>0.76119999999999999</v>
      </c>
      <c r="K208" s="1">
        <v>1.9065000000000001</v>
      </c>
      <c r="L208" s="1">
        <v>1.385</v>
      </c>
      <c r="M208" s="1">
        <v>0.85399999999999998</v>
      </c>
      <c r="N208" s="1">
        <v>1.2549999999999999</v>
      </c>
      <c r="O208" s="1">
        <v>778</v>
      </c>
      <c r="P208" s="1">
        <v>170.9</v>
      </c>
      <c r="Q208" s="1">
        <v>300.89999999999998</v>
      </c>
      <c r="R208" s="1">
        <v>10.3</v>
      </c>
      <c r="S208" s="1">
        <v>144.6</v>
      </c>
      <c r="T208" s="1">
        <v>9.4</v>
      </c>
      <c r="U208" s="1">
        <v>16.149999999999999</v>
      </c>
      <c r="V208" s="1">
        <v>0.16</v>
      </c>
      <c r="W208" s="1"/>
    </row>
    <row r="209" spans="1:23">
      <c r="A209" s="1">
        <v>0.18</v>
      </c>
      <c r="B209" s="108">
        <f t="shared" si="19"/>
        <v>26.106840000000002</v>
      </c>
      <c r="C209" s="1" t="s">
        <v>550</v>
      </c>
      <c r="D209" s="1" t="s">
        <v>551</v>
      </c>
      <c r="E209" s="1">
        <v>1311.2</v>
      </c>
      <c r="F209" s="32">
        <f t="shared" si="20"/>
        <v>7.1833919977013148</v>
      </c>
      <c r="G209" s="1">
        <v>0.13921</v>
      </c>
      <c r="H209" s="1">
        <v>142.93</v>
      </c>
      <c r="I209" s="1">
        <v>405.36</v>
      </c>
      <c r="J209" s="1">
        <v>0.77659999999999996</v>
      </c>
      <c r="K209" s="1">
        <v>1.8993</v>
      </c>
      <c r="L209" s="1">
        <v>1.39</v>
      </c>
      <c r="M209" s="1">
        <v>0.86799999999999999</v>
      </c>
      <c r="N209" s="1">
        <v>1.2589999999999999</v>
      </c>
      <c r="O209" s="1">
        <v>765</v>
      </c>
      <c r="P209" s="1">
        <v>171.2</v>
      </c>
      <c r="Q209" s="1">
        <v>289.89999999999998</v>
      </c>
      <c r="R209" s="1">
        <v>10.41</v>
      </c>
      <c r="S209" s="1">
        <v>142.80000000000001</v>
      </c>
      <c r="T209" s="1">
        <v>9.5299999999999994</v>
      </c>
      <c r="U209" s="1">
        <v>15.69</v>
      </c>
      <c r="V209" s="1">
        <v>0.18</v>
      </c>
      <c r="W209" s="1"/>
    </row>
    <row r="210" spans="1:23">
      <c r="A210" s="1">
        <v>0.2</v>
      </c>
      <c r="B210" s="108">
        <f t="shared" si="19"/>
        <v>29.007600000000004</v>
      </c>
      <c r="C210" s="1" t="s">
        <v>552</v>
      </c>
      <c r="D210" s="1" t="s">
        <v>553</v>
      </c>
      <c r="E210" s="1">
        <v>1303.4000000000001</v>
      </c>
      <c r="F210" s="32">
        <f t="shared" si="20"/>
        <v>7.9396585946804281</v>
      </c>
      <c r="G210" s="1">
        <v>0.12595000000000001</v>
      </c>
      <c r="H210" s="1">
        <v>146.22999999999999</v>
      </c>
      <c r="I210" s="1">
        <v>406.5</v>
      </c>
      <c r="J210" s="1">
        <v>0.79049999999999998</v>
      </c>
      <c r="K210" s="1">
        <v>1.8928</v>
      </c>
      <c r="L210" s="1">
        <v>1.395</v>
      </c>
      <c r="M210" s="1">
        <v>0.88100000000000001</v>
      </c>
      <c r="N210" s="1">
        <v>1.2629999999999999</v>
      </c>
      <c r="O210" s="1">
        <v>753</v>
      </c>
      <c r="P210" s="1">
        <v>171.5</v>
      </c>
      <c r="Q210" s="1">
        <v>280.3</v>
      </c>
      <c r="R210" s="1">
        <v>10.51</v>
      </c>
      <c r="S210" s="1">
        <v>141.1</v>
      </c>
      <c r="T210" s="1">
        <v>9.66</v>
      </c>
      <c r="U210" s="1">
        <v>15.27</v>
      </c>
      <c r="V210" s="1">
        <v>0.2</v>
      </c>
      <c r="W210" s="1"/>
    </row>
    <row r="211" spans="1:23">
      <c r="A211" s="1">
        <v>0.22</v>
      </c>
      <c r="B211" s="108">
        <f t="shared" si="19"/>
        <v>31.908360000000002</v>
      </c>
      <c r="C211" s="1" t="s">
        <v>554</v>
      </c>
      <c r="D211" s="1" t="s">
        <v>555</v>
      </c>
      <c r="E211" s="1">
        <v>1296.2</v>
      </c>
      <c r="F211" s="32">
        <f t="shared" si="20"/>
        <v>8.6933843345214292</v>
      </c>
      <c r="G211" s="1">
        <v>0.11502999999999999</v>
      </c>
      <c r="H211" s="1">
        <v>149.29</v>
      </c>
      <c r="I211" s="1">
        <v>407.53</v>
      </c>
      <c r="J211" s="1">
        <v>0.8034</v>
      </c>
      <c r="K211" s="1">
        <v>1.8871</v>
      </c>
      <c r="L211" s="1">
        <v>1.399</v>
      </c>
      <c r="M211" s="1">
        <v>0.89300000000000002</v>
      </c>
      <c r="N211" s="1">
        <v>1.266</v>
      </c>
      <c r="O211" s="1">
        <v>743</v>
      </c>
      <c r="P211" s="1">
        <v>171.6</v>
      </c>
      <c r="Q211" s="1">
        <v>271.8</v>
      </c>
      <c r="R211" s="1">
        <v>10.61</v>
      </c>
      <c r="S211" s="1">
        <v>139.5</v>
      </c>
      <c r="T211" s="1">
        <v>9.77</v>
      </c>
      <c r="U211" s="1">
        <v>14.89</v>
      </c>
      <c r="V211" s="1">
        <v>0.22</v>
      </c>
      <c r="W211" s="1"/>
    </row>
    <row r="212" spans="1:23">
      <c r="A212" s="1">
        <v>0.24</v>
      </c>
      <c r="B212" s="108">
        <f t="shared" si="19"/>
        <v>34.80912</v>
      </c>
      <c r="C212" s="1" t="s">
        <v>556</v>
      </c>
      <c r="D212" s="1" t="s">
        <v>557</v>
      </c>
      <c r="E212" s="1">
        <v>1289.4000000000001</v>
      </c>
      <c r="F212" s="32">
        <f t="shared" si="20"/>
        <v>9.4455464248606784</v>
      </c>
      <c r="G212" s="1">
        <v>0.10587000000000001</v>
      </c>
      <c r="H212" s="1">
        <v>152.15</v>
      </c>
      <c r="I212" s="1">
        <v>408.49</v>
      </c>
      <c r="J212" s="1">
        <v>0.81530000000000002</v>
      </c>
      <c r="K212" s="1">
        <v>1.8817999999999999</v>
      </c>
      <c r="L212" s="1">
        <v>1.4039999999999999</v>
      </c>
      <c r="M212" s="1">
        <v>0.90400000000000003</v>
      </c>
      <c r="N212" s="1">
        <v>1.27</v>
      </c>
      <c r="O212" s="1">
        <v>732</v>
      </c>
      <c r="P212" s="1">
        <v>171.8</v>
      </c>
      <c r="Q212" s="1">
        <v>264.2</v>
      </c>
      <c r="R212" s="1">
        <v>10.7</v>
      </c>
      <c r="S212" s="1">
        <v>138.1</v>
      </c>
      <c r="T212" s="1">
        <v>9.8800000000000008</v>
      </c>
      <c r="U212" s="1">
        <v>14.54</v>
      </c>
      <c r="V212" s="1">
        <v>0.24</v>
      </c>
      <c r="W212" s="1"/>
    </row>
    <row r="213" spans="1:23">
      <c r="A213" s="1">
        <v>0.26</v>
      </c>
      <c r="B213" s="108">
        <f t="shared" si="19"/>
        <v>37.709880000000005</v>
      </c>
      <c r="C213" s="1" t="s">
        <v>558</v>
      </c>
      <c r="D213" s="1" t="s">
        <v>559</v>
      </c>
      <c r="E213" s="1">
        <v>1283</v>
      </c>
      <c r="F213" s="32">
        <f t="shared" si="20"/>
        <v>10.196798205363516</v>
      </c>
      <c r="G213" s="1">
        <v>9.8070000000000004E-2</v>
      </c>
      <c r="H213" s="1">
        <v>154.84</v>
      </c>
      <c r="I213" s="1">
        <v>409.36</v>
      </c>
      <c r="J213" s="1">
        <v>0.82640000000000002</v>
      </c>
      <c r="K213" s="1">
        <v>1.877</v>
      </c>
      <c r="L213" s="1">
        <v>1.4079999999999999</v>
      </c>
      <c r="M213" s="1">
        <v>0.91600000000000004</v>
      </c>
      <c r="N213" s="1">
        <v>1.274</v>
      </c>
      <c r="O213" s="1">
        <v>723</v>
      </c>
      <c r="P213" s="1">
        <v>171.9</v>
      </c>
      <c r="Q213" s="1">
        <v>257.2</v>
      </c>
      <c r="R213" s="1">
        <v>10.78</v>
      </c>
      <c r="S213" s="1">
        <v>136.69999999999999</v>
      </c>
      <c r="T213" s="1">
        <v>9.98</v>
      </c>
      <c r="U213" s="1">
        <v>14.21</v>
      </c>
      <c r="V213" s="1">
        <v>0.26</v>
      </c>
      <c r="W213" s="1"/>
    </row>
    <row r="214" spans="1:23">
      <c r="A214" s="1">
        <v>0.28000000000000003</v>
      </c>
      <c r="B214" s="108">
        <f t="shared" si="19"/>
        <v>40.610640000000004</v>
      </c>
      <c r="C214" s="1" t="s">
        <v>560</v>
      </c>
      <c r="D214" s="1" t="s">
        <v>561</v>
      </c>
      <c r="E214" s="1">
        <v>1276.9000000000001</v>
      </c>
      <c r="F214" s="32">
        <f t="shared" si="20"/>
        <v>10.946907498631637</v>
      </c>
      <c r="G214" s="1">
        <v>9.1350000000000001E-2</v>
      </c>
      <c r="H214" s="1">
        <v>157.38</v>
      </c>
      <c r="I214" s="1">
        <v>410.18</v>
      </c>
      <c r="J214" s="1">
        <v>0.83679999999999999</v>
      </c>
      <c r="K214" s="1">
        <v>1.8726</v>
      </c>
      <c r="L214" s="1">
        <v>1.413</v>
      </c>
      <c r="M214" s="1">
        <v>0.92600000000000005</v>
      </c>
      <c r="N214" s="1">
        <v>1.2769999999999999</v>
      </c>
      <c r="O214" s="1">
        <v>714</v>
      </c>
      <c r="P214" s="1">
        <v>172</v>
      </c>
      <c r="Q214" s="1">
        <v>251</v>
      </c>
      <c r="R214" s="1">
        <v>10.86</v>
      </c>
      <c r="S214" s="1">
        <v>135.5</v>
      </c>
      <c r="T214" s="1">
        <v>10.08</v>
      </c>
      <c r="U214" s="1">
        <v>13.9</v>
      </c>
      <c r="V214" s="1">
        <v>0.28000000000000003</v>
      </c>
      <c r="W214" s="1"/>
    </row>
    <row r="215" spans="1:23">
      <c r="A215" s="1">
        <v>0.3</v>
      </c>
      <c r="B215" s="108">
        <f t="shared" si="19"/>
        <v>43.511400000000002</v>
      </c>
      <c r="C215" s="1" t="s">
        <v>562</v>
      </c>
      <c r="D215" s="1" t="s">
        <v>563</v>
      </c>
      <c r="E215" s="1">
        <v>1271.0999999999999</v>
      </c>
      <c r="F215" s="32">
        <f t="shared" si="20"/>
        <v>11.695906432748536</v>
      </c>
      <c r="G215" s="1">
        <v>8.5500000000000007E-2</v>
      </c>
      <c r="H215" s="1">
        <v>159.80000000000001</v>
      </c>
      <c r="I215" s="1">
        <v>410.94</v>
      </c>
      <c r="J215" s="1">
        <v>0.84660000000000002</v>
      </c>
      <c r="K215" s="1">
        <v>1.8685</v>
      </c>
      <c r="L215" s="1">
        <v>1.417</v>
      </c>
      <c r="M215" s="1">
        <v>0.93600000000000005</v>
      </c>
      <c r="N215" s="1">
        <v>1.2809999999999999</v>
      </c>
      <c r="O215" s="1">
        <v>705</v>
      </c>
      <c r="P215" s="1">
        <v>172</v>
      </c>
      <c r="Q215" s="1">
        <v>245.2</v>
      </c>
      <c r="R215" s="1">
        <v>10.93</v>
      </c>
      <c r="S215" s="1">
        <v>134.30000000000001</v>
      </c>
      <c r="T215" s="1">
        <v>10.18</v>
      </c>
      <c r="U215" s="1">
        <v>13.6</v>
      </c>
      <c r="V215" s="1">
        <v>0.3</v>
      </c>
      <c r="W215" s="1"/>
    </row>
    <row r="216" spans="1:23">
      <c r="A216" s="1">
        <v>0.32</v>
      </c>
      <c r="B216" s="108">
        <f t="shared" si="19"/>
        <v>46.412160000000007</v>
      </c>
      <c r="C216" s="1" t="s">
        <v>564</v>
      </c>
      <c r="D216" s="1" t="s">
        <v>565</v>
      </c>
      <c r="E216" s="1">
        <v>1265.5</v>
      </c>
      <c r="F216" s="32">
        <f t="shared" si="20"/>
        <v>12.445550715619165</v>
      </c>
      <c r="G216" s="1">
        <v>8.0350000000000005E-2</v>
      </c>
      <c r="H216" s="1">
        <v>162.1</v>
      </c>
      <c r="I216" s="1">
        <v>411.65</v>
      </c>
      <c r="J216" s="1">
        <v>0.85580000000000001</v>
      </c>
      <c r="K216" s="1">
        <v>1.8647</v>
      </c>
      <c r="L216" s="1">
        <v>1.421</v>
      </c>
      <c r="M216" s="1">
        <v>0.94599999999999995</v>
      </c>
      <c r="N216" s="1">
        <v>1.2849999999999999</v>
      </c>
      <c r="O216" s="1">
        <v>697</v>
      </c>
      <c r="P216" s="1">
        <v>172</v>
      </c>
      <c r="Q216" s="1">
        <v>239.8</v>
      </c>
      <c r="R216" s="1">
        <v>11</v>
      </c>
      <c r="S216" s="1">
        <v>133.1</v>
      </c>
      <c r="T216" s="1">
        <v>10.27</v>
      </c>
      <c r="U216" s="1">
        <v>13.33</v>
      </c>
      <c r="V216" s="1">
        <v>0.32</v>
      </c>
      <c r="W216" s="1"/>
    </row>
    <row r="217" spans="1:23">
      <c r="A217" s="1">
        <v>0.34</v>
      </c>
      <c r="B217" s="108">
        <f t="shared" si="19"/>
        <v>49.312920000000005</v>
      </c>
      <c r="C217" s="1" t="s">
        <v>566</v>
      </c>
      <c r="D217" s="1" t="s">
        <v>567</v>
      </c>
      <c r="E217" s="1">
        <v>1260.2</v>
      </c>
      <c r="F217" s="32">
        <f t="shared" si="20"/>
        <v>13.194352816994327</v>
      </c>
      <c r="G217" s="1">
        <v>7.5789999999999996E-2</v>
      </c>
      <c r="H217" s="1">
        <v>164.29</v>
      </c>
      <c r="I217" s="1">
        <v>412.32</v>
      </c>
      <c r="J217" s="1">
        <v>0.86460000000000004</v>
      </c>
      <c r="K217" s="1">
        <v>1.8611</v>
      </c>
      <c r="L217" s="1">
        <v>1.4259999999999999</v>
      </c>
      <c r="M217" s="1">
        <v>0.95599999999999996</v>
      </c>
      <c r="N217" s="1">
        <v>1.288</v>
      </c>
      <c r="O217" s="1">
        <v>689</v>
      </c>
      <c r="P217" s="1">
        <v>172.1</v>
      </c>
      <c r="Q217" s="1">
        <v>234.9</v>
      </c>
      <c r="R217" s="1">
        <v>11.07</v>
      </c>
      <c r="S217" s="1">
        <v>132.1</v>
      </c>
      <c r="T217" s="1">
        <v>10.36</v>
      </c>
      <c r="U217" s="1">
        <v>13.06</v>
      </c>
      <c r="V217" s="1">
        <v>0.34</v>
      </c>
      <c r="W217" s="1"/>
    </row>
    <row r="218" spans="1:23">
      <c r="A218" s="1">
        <v>0.36</v>
      </c>
      <c r="B218" s="108">
        <f t="shared" si="19"/>
        <v>52.213680000000004</v>
      </c>
      <c r="C218" s="1" t="s">
        <v>568</v>
      </c>
      <c r="D218" s="1" t="s">
        <v>569</v>
      </c>
      <c r="E218" s="1">
        <v>1255</v>
      </c>
      <c r="F218" s="32">
        <f t="shared" si="20"/>
        <v>13.943112102621305</v>
      </c>
      <c r="G218" s="1">
        <v>7.1720000000000006E-2</v>
      </c>
      <c r="H218" s="1">
        <v>166.4</v>
      </c>
      <c r="I218" s="1">
        <v>412.95</v>
      </c>
      <c r="J218" s="1">
        <v>0.87029999999999996</v>
      </c>
      <c r="K218" s="1">
        <v>1.8576999999999999</v>
      </c>
      <c r="L218" s="1">
        <v>1.43</v>
      </c>
      <c r="M218" s="1">
        <v>0.96499999999999997</v>
      </c>
      <c r="N218" s="1">
        <v>1.292</v>
      </c>
      <c r="O218" s="1">
        <v>682</v>
      </c>
      <c r="P218" s="1">
        <v>172.1</v>
      </c>
      <c r="Q218" s="1">
        <v>230.3</v>
      </c>
      <c r="R218" s="1">
        <v>11.13</v>
      </c>
      <c r="S218" s="1">
        <v>131</v>
      </c>
      <c r="T218" s="1">
        <v>10.46</v>
      </c>
      <c r="U218" s="1">
        <v>12.81</v>
      </c>
      <c r="V218" s="1">
        <v>0.36</v>
      </c>
      <c r="W218" s="1"/>
    </row>
    <row r="219" spans="1:23">
      <c r="A219" s="1">
        <v>0.38</v>
      </c>
      <c r="B219" s="108">
        <f t="shared" si="19"/>
        <v>55.114440000000002</v>
      </c>
      <c r="C219" s="1" t="s">
        <v>570</v>
      </c>
      <c r="D219" s="1" t="s">
        <v>571</v>
      </c>
      <c r="E219" s="1">
        <v>1250.0999999999999</v>
      </c>
      <c r="F219" s="32">
        <f t="shared" si="20"/>
        <v>14.692918013517486</v>
      </c>
      <c r="G219" s="1">
        <v>6.8059999999999996E-2</v>
      </c>
      <c r="H219" s="1">
        <v>168.43</v>
      </c>
      <c r="I219" s="1">
        <v>413.54</v>
      </c>
      <c r="J219" s="1">
        <v>0.88100000000000001</v>
      </c>
      <c r="K219" s="1">
        <v>1.8545</v>
      </c>
      <c r="L219" s="1">
        <v>1.4339999999999999</v>
      </c>
      <c r="M219" s="1">
        <v>0.97499999999999998</v>
      </c>
      <c r="N219" s="1">
        <v>1.2949999999999999</v>
      </c>
      <c r="O219" s="1">
        <v>675</v>
      </c>
      <c r="P219" s="1">
        <v>172</v>
      </c>
      <c r="Q219" s="1">
        <v>226</v>
      </c>
      <c r="R219" s="1">
        <v>11.19</v>
      </c>
      <c r="S219" s="1">
        <v>130.1</v>
      </c>
      <c r="T219" s="1">
        <v>10.55</v>
      </c>
      <c r="U219" s="1">
        <v>12.57</v>
      </c>
      <c r="V219" s="1">
        <v>0.38</v>
      </c>
      <c r="W219" s="1"/>
    </row>
    <row r="220" spans="1:23">
      <c r="A220" s="1">
        <v>0.4</v>
      </c>
      <c r="B220" s="108">
        <f t="shared" si="19"/>
        <v>58.015200000000007</v>
      </c>
      <c r="C220" s="1" t="s">
        <v>572</v>
      </c>
      <c r="D220" s="1" t="s">
        <v>573</v>
      </c>
      <c r="E220" s="1">
        <v>1245.3</v>
      </c>
      <c r="F220" s="32">
        <f t="shared" si="20"/>
        <v>15.441630636195182</v>
      </c>
      <c r="G220" s="1">
        <v>6.4759999999999998E-2</v>
      </c>
      <c r="H220" s="1">
        <v>170.38</v>
      </c>
      <c r="I220" s="1">
        <v>414.1</v>
      </c>
      <c r="J220" s="1">
        <v>0.88870000000000005</v>
      </c>
      <c r="K220" s="1">
        <v>1.8513999999999999</v>
      </c>
      <c r="L220" s="1">
        <v>1.4379999999999999</v>
      </c>
      <c r="M220" s="1">
        <v>0.98299999999999998</v>
      </c>
      <c r="N220" s="1">
        <v>1.2989999999999999</v>
      </c>
      <c r="O220" s="1">
        <v>668</v>
      </c>
      <c r="P220" s="1">
        <v>172</v>
      </c>
      <c r="Q220" s="1">
        <v>221.9</v>
      </c>
      <c r="R220" s="1">
        <v>11.25</v>
      </c>
      <c r="S220" s="1">
        <v>129.1</v>
      </c>
      <c r="T220" s="1">
        <v>10.64</v>
      </c>
      <c r="U220" s="1">
        <v>12.35</v>
      </c>
      <c r="V220" s="1">
        <v>0.4</v>
      </c>
      <c r="W220" s="1"/>
    </row>
    <row r="221" spans="1:23">
      <c r="A221" s="1">
        <v>0.42</v>
      </c>
      <c r="B221" s="108">
        <f t="shared" si="19"/>
        <v>60.915960000000005</v>
      </c>
      <c r="C221" s="1" t="s">
        <v>574</v>
      </c>
      <c r="D221" s="1" t="s">
        <v>575</v>
      </c>
      <c r="E221" s="1">
        <v>1240.5999999999999</v>
      </c>
      <c r="F221" s="32">
        <f t="shared" si="20"/>
        <v>16.191709844559586</v>
      </c>
      <c r="G221" s="1">
        <v>6.1760000000000002E-2</v>
      </c>
      <c r="H221" s="1">
        <v>172.26</v>
      </c>
      <c r="I221" s="1">
        <v>414.64</v>
      </c>
      <c r="J221" s="1">
        <v>0.89600000000000002</v>
      </c>
      <c r="K221" s="1">
        <v>1.8486</v>
      </c>
      <c r="L221" s="1">
        <v>1.4430000000000001</v>
      </c>
      <c r="M221" s="1">
        <v>0.99199999999999999</v>
      </c>
      <c r="N221" s="1">
        <v>1.3029999999999999</v>
      </c>
      <c r="O221" s="1">
        <v>661</v>
      </c>
      <c r="P221" s="1">
        <v>172</v>
      </c>
      <c r="Q221" s="1">
        <v>218.1</v>
      </c>
      <c r="R221" s="1">
        <v>11.31</v>
      </c>
      <c r="S221" s="1">
        <v>128.19999999999999</v>
      </c>
      <c r="T221" s="1">
        <v>10.73</v>
      </c>
      <c r="U221" s="1">
        <v>12.13</v>
      </c>
      <c r="V221" s="1">
        <v>0.42</v>
      </c>
      <c r="W221" s="1"/>
    </row>
    <row r="222" spans="1:23">
      <c r="A222" s="1">
        <v>0.44</v>
      </c>
      <c r="B222" s="108">
        <f t="shared" si="19"/>
        <v>63.816720000000004</v>
      </c>
      <c r="C222" s="1" t="s">
        <v>576</v>
      </c>
      <c r="D222" s="1" t="s">
        <v>577</v>
      </c>
      <c r="E222" s="1">
        <v>1236.0999999999999</v>
      </c>
      <c r="F222" s="32">
        <f t="shared" si="20"/>
        <v>16.943409013893593</v>
      </c>
      <c r="G222" s="1">
        <v>5.9020000000000003E-2</v>
      </c>
      <c r="H222" s="1">
        <v>174.08</v>
      </c>
      <c r="I222" s="1">
        <v>415.14</v>
      </c>
      <c r="J222" s="1">
        <v>0.90310000000000001</v>
      </c>
      <c r="K222" s="1">
        <v>1.8458000000000001</v>
      </c>
      <c r="L222" s="1">
        <v>1.4470000000000001</v>
      </c>
      <c r="M222" s="1">
        <v>1.0009999999999999</v>
      </c>
      <c r="N222" s="1">
        <v>1.306</v>
      </c>
      <c r="O222" s="1">
        <v>655</v>
      </c>
      <c r="P222" s="1">
        <v>171.9</v>
      </c>
      <c r="Q222" s="1">
        <v>214.5</v>
      </c>
      <c r="R222" s="1">
        <v>11.36</v>
      </c>
      <c r="S222" s="1">
        <v>127.3</v>
      </c>
      <c r="T222" s="1">
        <v>10.82</v>
      </c>
      <c r="U222" s="1">
        <v>11.92</v>
      </c>
      <c r="V222" s="1">
        <v>0.44</v>
      </c>
      <c r="W222" s="1"/>
    </row>
    <row r="223" spans="1:23">
      <c r="A223" s="1">
        <v>0.46</v>
      </c>
      <c r="B223" s="108">
        <f t="shared" si="19"/>
        <v>66.717480000000009</v>
      </c>
      <c r="C223" s="1" t="s">
        <v>578</v>
      </c>
      <c r="D223" s="1" t="s">
        <v>579</v>
      </c>
      <c r="E223" s="1">
        <v>1231.8</v>
      </c>
      <c r="F223" s="32">
        <f t="shared" si="20"/>
        <v>17.692852087756545</v>
      </c>
      <c r="G223" s="1">
        <v>5.6520000000000001E-2</v>
      </c>
      <c r="H223" s="1">
        <v>175.84</v>
      </c>
      <c r="I223" s="1">
        <v>415.63</v>
      </c>
      <c r="J223" s="1">
        <v>0.90990000000000004</v>
      </c>
      <c r="K223" s="1">
        <v>1.8431999999999999</v>
      </c>
      <c r="L223" s="1">
        <v>1.4510000000000001</v>
      </c>
      <c r="M223" s="1">
        <v>1.0089999999999999</v>
      </c>
      <c r="N223" s="1">
        <v>1.31</v>
      </c>
      <c r="O223" s="1">
        <v>649</v>
      </c>
      <c r="P223" s="1">
        <v>171.8</v>
      </c>
      <c r="Q223" s="1">
        <v>211.1</v>
      </c>
      <c r="R223" s="1">
        <v>11.42</v>
      </c>
      <c r="S223" s="1">
        <v>126.5</v>
      </c>
      <c r="T223" s="1">
        <v>10.91</v>
      </c>
      <c r="U223" s="1">
        <v>11.71</v>
      </c>
      <c r="V223" s="1">
        <v>0.46</v>
      </c>
      <c r="W223" s="1"/>
    </row>
    <row r="224" spans="1:23">
      <c r="A224" s="1">
        <v>0.48</v>
      </c>
      <c r="B224" s="108">
        <f t="shared" si="19"/>
        <v>69.61824</v>
      </c>
      <c r="C224" s="1" t="s">
        <v>580</v>
      </c>
      <c r="D224" s="1" t="s">
        <v>581</v>
      </c>
      <c r="E224" s="1">
        <v>1227.5</v>
      </c>
      <c r="F224" s="32">
        <f t="shared" si="20"/>
        <v>18.446781036709094</v>
      </c>
      <c r="G224" s="1">
        <v>5.4210000000000001E-2</v>
      </c>
      <c r="H224" s="1">
        <v>177.55</v>
      </c>
      <c r="I224" s="1">
        <v>416.09</v>
      </c>
      <c r="J224" s="1">
        <v>0.91649999999999998</v>
      </c>
      <c r="K224" s="1">
        <v>1.8407</v>
      </c>
      <c r="L224" s="1">
        <v>1.4550000000000001</v>
      </c>
      <c r="M224" s="1">
        <v>1.0169999999999999</v>
      </c>
      <c r="N224" s="1">
        <v>1.3129999999999999</v>
      </c>
      <c r="O224" s="1">
        <v>643</v>
      </c>
      <c r="P224" s="1">
        <v>171.8</v>
      </c>
      <c r="Q224" s="1">
        <v>207.8</v>
      </c>
      <c r="R224" s="1">
        <v>11.47</v>
      </c>
      <c r="S224" s="1">
        <v>125.7</v>
      </c>
      <c r="T224" s="1">
        <v>10.99</v>
      </c>
      <c r="U224" s="1">
        <v>11.52</v>
      </c>
      <c r="V224" s="1">
        <v>0.48</v>
      </c>
      <c r="W224" s="1"/>
    </row>
    <row r="225" spans="1:23">
      <c r="A225" s="1">
        <v>0.5</v>
      </c>
      <c r="B225" s="108">
        <f t="shared" si="19"/>
        <v>72.519000000000005</v>
      </c>
      <c r="C225" s="1" t="s">
        <v>582</v>
      </c>
      <c r="D225" s="1" t="s">
        <v>583</v>
      </c>
      <c r="E225" s="1">
        <v>1223.3</v>
      </c>
      <c r="F225" s="32">
        <f t="shared" si="20"/>
        <v>19.197542714532542</v>
      </c>
      <c r="G225" s="1">
        <v>5.2089999999999997E-2</v>
      </c>
      <c r="H225" s="1">
        <v>179.21</v>
      </c>
      <c r="I225" s="1">
        <v>416.53</v>
      </c>
      <c r="J225" s="1">
        <v>0.92279999999999995</v>
      </c>
      <c r="K225" s="1">
        <v>1.8383</v>
      </c>
      <c r="L225" s="1">
        <v>1.4590000000000001</v>
      </c>
      <c r="M225" s="1">
        <v>1.0249999999999999</v>
      </c>
      <c r="N225" s="1">
        <v>1.3169999999999999</v>
      </c>
      <c r="O225" s="1">
        <v>637</v>
      </c>
      <c r="P225" s="1">
        <v>171.7</v>
      </c>
      <c r="Q225" s="1">
        <v>204.7</v>
      </c>
      <c r="R225" s="1">
        <v>11.52</v>
      </c>
      <c r="S225" s="1">
        <v>124.9</v>
      </c>
      <c r="T225" s="1">
        <v>11.08</v>
      </c>
      <c r="U225" s="1">
        <v>11.33</v>
      </c>
      <c r="V225" s="1">
        <v>0.5</v>
      </c>
      <c r="W225" s="1"/>
    </row>
    <row r="226" spans="1:23">
      <c r="A226" s="1">
        <v>0.55000000000000004</v>
      </c>
      <c r="B226" s="108">
        <f t="shared" si="19"/>
        <v>79.770900000000012</v>
      </c>
      <c r="C226" s="1" t="s">
        <v>584</v>
      </c>
      <c r="D226" s="1" t="s">
        <v>585</v>
      </c>
      <c r="E226" s="1">
        <v>1213.4000000000001</v>
      </c>
      <c r="F226" s="32">
        <f t="shared" si="20"/>
        <v>21.083702298123551</v>
      </c>
      <c r="G226" s="1">
        <v>4.743E-2</v>
      </c>
      <c r="H226" s="1">
        <v>183.17</v>
      </c>
      <c r="I226" s="1">
        <v>417.54</v>
      </c>
      <c r="J226" s="1">
        <v>0.93789999999999996</v>
      </c>
      <c r="K226" s="1">
        <v>1.8326</v>
      </c>
      <c r="L226" s="1">
        <v>1.4690000000000001</v>
      </c>
      <c r="M226" s="1">
        <v>1.0449999999999999</v>
      </c>
      <c r="N226" s="1">
        <v>1.3260000000000001</v>
      </c>
      <c r="O226" s="1">
        <v>623</v>
      </c>
      <c r="P226" s="1">
        <v>171.4</v>
      </c>
      <c r="Q226" s="1">
        <v>197.6</v>
      </c>
      <c r="R226" s="1">
        <v>11.64</v>
      </c>
      <c r="S226" s="1">
        <v>123.1</v>
      </c>
      <c r="T226" s="1">
        <v>11.28</v>
      </c>
      <c r="U226" s="1">
        <v>10.89</v>
      </c>
      <c r="V226" s="1">
        <v>0.55000000000000004</v>
      </c>
      <c r="W226" s="1"/>
    </row>
    <row r="227" spans="1:23">
      <c r="A227" s="1">
        <v>0.6</v>
      </c>
      <c r="B227" s="108">
        <f t="shared" si="19"/>
        <v>87.022800000000004</v>
      </c>
      <c r="C227" s="1" t="s">
        <v>586</v>
      </c>
      <c r="D227" s="1" t="s">
        <v>587</v>
      </c>
      <c r="E227" s="1">
        <v>1203.9000000000001</v>
      </c>
      <c r="F227" s="32">
        <f t="shared" si="20"/>
        <v>22.977941176470587</v>
      </c>
      <c r="G227" s="1">
        <v>4.3520000000000003E-2</v>
      </c>
      <c r="H227" s="1">
        <v>186.89</v>
      </c>
      <c r="I227" s="1">
        <v>418.46</v>
      </c>
      <c r="J227" s="1">
        <v>0.95179999999999998</v>
      </c>
      <c r="K227" s="1">
        <v>1.8274999999999999</v>
      </c>
      <c r="L227" s="1">
        <v>1.4790000000000001</v>
      </c>
      <c r="M227" s="1">
        <v>1.0640000000000001</v>
      </c>
      <c r="N227" s="1">
        <v>1.335</v>
      </c>
      <c r="O227" s="1">
        <v>610</v>
      </c>
      <c r="P227" s="1">
        <v>171.2</v>
      </c>
      <c r="Q227" s="1">
        <v>191.2</v>
      </c>
      <c r="R227" s="1">
        <v>11.75</v>
      </c>
      <c r="S227" s="1">
        <v>121.4</v>
      </c>
      <c r="T227" s="1">
        <v>11.48</v>
      </c>
      <c r="U227" s="1">
        <v>10.47</v>
      </c>
      <c r="V227" s="1">
        <v>0.6</v>
      </c>
      <c r="W227" s="1"/>
    </row>
    <row r="228" spans="1:23">
      <c r="A228" s="1">
        <v>0.65</v>
      </c>
      <c r="B228" s="108">
        <f t="shared" si="19"/>
        <v>94.27470000000001</v>
      </c>
      <c r="C228" s="1" t="s">
        <v>588</v>
      </c>
      <c r="D228" s="1" t="s">
        <v>589</v>
      </c>
      <c r="E228" s="1">
        <v>1194.9000000000001</v>
      </c>
      <c r="F228" s="32">
        <f t="shared" si="20"/>
        <v>24.881811395869622</v>
      </c>
      <c r="G228" s="1">
        <v>4.0189999999999997E-2</v>
      </c>
      <c r="H228" s="1">
        <v>190.4</v>
      </c>
      <c r="I228" s="1">
        <v>419.28</v>
      </c>
      <c r="J228" s="1">
        <v>0.96489999999999998</v>
      </c>
      <c r="K228" s="1">
        <v>1.8227</v>
      </c>
      <c r="L228" s="1">
        <v>1.4890000000000001</v>
      </c>
      <c r="M228" s="1">
        <v>1.083</v>
      </c>
      <c r="N228" s="1">
        <v>1.3440000000000001</v>
      </c>
      <c r="O228" s="1">
        <v>597</v>
      </c>
      <c r="P228" s="1">
        <v>170.9</v>
      </c>
      <c r="Q228" s="1">
        <v>185.3</v>
      </c>
      <c r="R228" s="1">
        <v>11.86</v>
      </c>
      <c r="S228" s="1">
        <v>119.7</v>
      </c>
      <c r="T228" s="1">
        <v>11.68</v>
      </c>
      <c r="U228" s="1">
        <v>10.09</v>
      </c>
      <c r="V228" s="1">
        <v>0.65</v>
      </c>
      <c r="W228" s="1"/>
    </row>
    <row r="229" spans="1:23">
      <c r="A229" s="1">
        <v>0.7</v>
      </c>
      <c r="B229" s="108">
        <f t="shared" si="19"/>
        <v>101.5266</v>
      </c>
      <c r="C229" s="1" t="s">
        <v>590</v>
      </c>
      <c r="D229" s="1" t="s">
        <v>591</v>
      </c>
      <c r="E229" s="1">
        <v>1186.3</v>
      </c>
      <c r="F229" s="32">
        <f t="shared" si="20"/>
        <v>26.79528403001072</v>
      </c>
      <c r="G229" s="1">
        <v>3.7319999999999999E-2</v>
      </c>
      <c r="H229" s="1">
        <v>193.74</v>
      </c>
      <c r="I229" s="1">
        <v>420.03</v>
      </c>
      <c r="J229" s="1">
        <v>0.97719999999999996</v>
      </c>
      <c r="K229" s="1">
        <v>1.8183</v>
      </c>
      <c r="L229" s="1">
        <v>1.4990000000000001</v>
      </c>
      <c r="M229" s="1">
        <v>1.101</v>
      </c>
      <c r="N229" s="1">
        <v>1.3540000000000001</v>
      </c>
      <c r="O229" s="1">
        <v>586</v>
      </c>
      <c r="P229" s="1">
        <v>170.5</v>
      </c>
      <c r="Q229" s="1">
        <v>180</v>
      </c>
      <c r="R229" s="1">
        <v>11.96</v>
      </c>
      <c r="S229" s="1">
        <v>118.2</v>
      </c>
      <c r="T229" s="1">
        <v>11.88</v>
      </c>
      <c r="U229" s="1">
        <v>9.73</v>
      </c>
      <c r="V229" s="1">
        <v>0.7</v>
      </c>
      <c r="W229" s="1"/>
    </row>
    <row r="230" spans="1:23">
      <c r="A230" s="1">
        <v>0.75</v>
      </c>
      <c r="B230" s="108">
        <f t="shared" si="19"/>
        <v>108.77850000000001</v>
      </c>
      <c r="C230" s="1" t="s">
        <v>592</v>
      </c>
      <c r="D230" s="1" t="s">
        <v>593</v>
      </c>
      <c r="E230" s="1">
        <v>1178.0999999999999</v>
      </c>
      <c r="F230" s="32">
        <f t="shared" si="20"/>
        <v>28.71912693854107</v>
      </c>
      <c r="G230" s="1">
        <v>3.4819999999999997E-2</v>
      </c>
      <c r="H230" s="1">
        <v>196.92</v>
      </c>
      <c r="I230" s="1">
        <v>420.71</v>
      </c>
      <c r="J230" s="1">
        <v>0.98880000000000001</v>
      </c>
      <c r="K230" s="1">
        <v>1.8141</v>
      </c>
      <c r="L230" s="1">
        <v>1.5089999999999999</v>
      </c>
      <c r="M230" s="1">
        <v>1.119</v>
      </c>
      <c r="N230" s="1">
        <v>1.363</v>
      </c>
      <c r="O230" s="1">
        <v>574</v>
      </c>
      <c r="P230" s="1">
        <v>170.2</v>
      </c>
      <c r="Q230" s="1">
        <v>175.1</v>
      </c>
      <c r="R230" s="1">
        <v>12.06</v>
      </c>
      <c r="S230" s="1">
        <v>116.8</v>
      </c>
      <c r="T230" s="1">
        <v>12.07</v>
      </c>
      <c r="U230" s="1">
        <v>9.39</v>
      </c>
      <c r="V230" s="1">
        <v>0.75</v>
      </c>
      <c r="W230" s="1"/>
    </row>
    <row r="231" spans="1:23">
      <c r="A231" s="1">
        <v>0.8</v>
      </c>
      <c r="B231" s="108">
        <f t="shared" si="19"/>
        <v>116.03040000000001</v>
      </c>
      <c r="C231" s="1" t="s">
        <v>594</v>
      </c>
      <c r="D231" s="1">
        <v>0.08</v>
      </c>
      <c r="E231" s="1">
        <v>1170.0999999999999</v>
      </c>
      <c r="F231" s="32">
        <f t="shared" si="20"/>
        <v>30.656039239730223</v>
      </c>
      <c r="G231" s="1">
        <v>3.2620000000000003E-2</v>
      </c>
      <c r="H231" s="1">
        <v>199.96</v>
      </c>
      <c r="I231" s="1">
        <v>421.33</v>
      </c>
      <c r="J231" s="1">
        <v>0.99980000000000002</v>
      </c>
      <c r="K231" s="1">
        <v>1.8102</v>
      </c>
      <c r="L231" s="1">
        <v>1.5189999999999999</v>
      </c>
      <c r="M231" s="1">
        <v>1.1359999999999999</v>
      </c>
      <c r="N231" s="1">
        <v>1.373</v>
      </c>
      <c r="O231" s="1">
        <v>564</v>
      </c>
      <c r="P231" s="1">
        <v>169.8</v>
      </c>
      <c r="Q231" s="1">
        <v>170.6</v>
      </c>
      <c r="R231" s="1">
        <v>12.15</v>
      </c>
      <c r="S231" s="1">
        <v>115.5</v>
      </c>
      <c r="T231" s="1">
        <v>12.26</v>
      </c>
      <c r="U231" s="1">
        <v>9.07</v>
      </c>
      <c r="V231" s="1">
        <v>0.8</v>
      </c>
      <c r="W231" s="1"/>
    </row>
    <row r="232" spans="1:23">
      <c r="A232" s="1">
        <v>0.85</v>
      </c>
      <c r="B232" s="108">
        <f t="shared" si="19"/>
        <v>123.28230000000001</v>
      </c>
      <c r="C232" s="1">
        <v>1.89</v>
      </c>
      <c r="D232" s="1">
        <v>1.99</v>
      </c>
      <c r="E232" s="1">
        <v>1162.4000000000001</v>
      </c>
      <c r="F232" s="32">
        <f t="shared" si="20"/>
        <v>32.594524119947849</v>
      </c>
      <c r="G232" s="1">
        <v>3.0679999999999999E-2</v>
      </c>
      <c r="H232" s="1">
        <v>202.88</v>
      </c>
      <c r="I232" s="1">
        <v>421.89</v>
      </c>
      <c r="J232" s="1">
        <v>1.0103</v>
      </c>
      <c r="K232" s="1">
        <v>1.8065</v>
      </c>
      <c r="L232" s="1">
        <v>1.5289999999999999</v>
      </c>
      <c r="M232" s="1">
        <v>1.1539999999999999</v>
      </c>
      <c r="N232" s="1">
        <v>1.3819999999999999</v>
      </c>
      <c r="O232" s="1">
        <v>554</v>
      </c>
      <c r="P232" s="1">
        <v>169.4</v>
      </c>
      <c r="Q232" s="1">
        <v>166.4</v>
      </c>
      <c r="R232" s="1">
        <v>12.24</v>
      </c>
      <c r="S232" s="1">
        <v>114.2</v>
      </c>
      <c r="T232" s="1">
        <v>12.45</v>
      </c>
      <c r="U232" s="1">
        <v>8.77</v>
      </c>
      <c r="V232" s="1">
        <v>0.85</v>
      </c>
      <c r="W232" s="1"/>
    </row>
    <row r="233" spans="1:23">
      <c r="A233" s="1">
        <v>0.9</v>
      </c>
      <c r="B233" s="108">
        <f t="shared" si="19"/>
        <v>130.53420000000003</v>
      </c>
      <c r="C233" s="1">
        <v>3.72</v>
      </c>
      <c r="D233" s="1">
        <v>3.83</v>
      </c>
      <c r="E233" s="1">
        <v>1154.9000000000001</v>
      </c>
      <c r="F233" s="32">
        <f t="shared" si="20"/>
        <v>34.554250172771248</v>
      </c>
      <c r="G233" s="1">
        <v>2.894E-2</v>
      </c>
      <c r="H233" s="1">
        <v>205.69</v>
      </c>
      <c r="I233" s="1">
        <v>422.41</v>
      </c>
      <c r="J233" s="1">
        <v>1.0204</v>
      </c>
      <c r="K233" s="1">
        <v>1.8029999999999999</v>
      </c>
      <c r="L233" s="1">
        <v>1.54</v>
      </c>
      <c r="M233" s="1">
        <v>1.171</v>
      </c>
      <c r="N233" s="1">
        <v>1.3919999999999999</v>
      </c>
      <c r="O233" s="1">
        <v>544</v>
      </c>
      <c r="P233" s="1">
        <v>169</v>
      </c>
      <c r="Q233" s="1">
        <v>162.4</v>
      </c>
      <c r="R233" s="1">
        <v>12.33</v>
      </c>
      <c r="S233" s="1">
        <v>113</v>
      </c>
      <c r="T233" s="1">
        <v>12.64</v>
      </c>
      <c r="U233" s="1">
        <v>8.48</v>
      </c>
      <c r="V233" s="1">
        <v>0.9</v>
      </c>
      <c r="W233" s="1"/>
    </row>
    <row r="234" spans="1:23">
      <c r="A234" s="1">
        <v>0.95</v>
      </c>
      <c r="B234" s="108">
        <f t="shared" si="19"/>
        <v>137.7861</v>
      </c>
      <c r="C234" s="1">
        <v>5.48</v>
      </c>
      <c r="D234" s="1">
        <v>5.58</v>
      </c>
      <c r="E234" s="1">
        <v>1147.5999999999999</v>
      </c>
      <c r="F234" s="32">
        <f t="shared" si="20"/>
        <v>36.523009495982464</v>
      </c>
      <c r="G234" s="1">
        <v>2.7380000000000002E-2</v>
      </c>
      <c r="H234" s="1">
        <v>208.4</v>
      </c>
      <c r="I234" s="1">
        <v>422.88</v>
      </c>
      <c r="J234" s="1">
        <v>1.03</v>
      </c>
      <c r="K234" s="1">
        <v>1.7996000000000001</v>
      </c>
      <c r="L234" s="1">
        <v>1.55</v>
      </c>
      <c r="M234" s="1">
        <v>1.1879999999999999</v>
      </c>
      <c r="N234" s="1">
        <v>1.4019999999999999</v>
      </c>
      <c r="O234" s="1">
        <v>535</v>
      </c>
      <c r="P234" s="1">
        <v>168.6</v>
      </c>
      <c r="Q234" s="1">
        <v>158.69999999999999</v>
      </c>
      <c r="R234" s="1">
        <v>12.41</v>
      </c>
      <c r="S234" s="1">
        <v>111.8</v>
      </c>
      <c r="T234" s="1">
        <v>12.82</v>
      </c>
      <c r="U234" s="1">
        <v>8.2100000000000009</v>
      </c>
      <c r="V234" s="1">
        <v>0.95</v>
      </c>
      <c r="W234" s="1"/>
    </row>
    <row r="235" spans="1:23">
      <c r="A235" s="1">
        <v>1</v>
      </c>
      <c r="B235" s="108">
        <f t="shared" si="19"/>
        <v>145.03800000000001</v>
      </c>
      <c r="C235" s="1">
        <v>7.17</v>
      </c>
      <c r="D235" s="1">
        <v>7.27</v>
      </c>
      <c r="E235" s="1">
        <v>1140.5</v>
      </c>
      <c r="F235" s="32">
        <f t="shared" si="20"/>
        <v>38.52080123266564</v>
      </c>
      <c r="G235" s="1">
        <v>2.596E-2</v>
      </c>
      <c r="H235" s="1">
        <v>211.02</v>
      </c>
      <c r="I235" s="1">
        <v>423.31</v>
      </c>
      <c r="J235" s="1">
        <v>1.0391999999999999</v>
      </c>
      <c r="K235" s="1">
        <v>1.7964</v>
      </c>
      <c r="L235" s="1">
        <v>1.56</v>
      </c>
      <c r="M235" s="1">
        <v>1.2050000000000001</v>
      </c>
      <c r="N235" s="1">
        <v>1.413</v>
      </c>
      <c r="O235" s="1">
        <v>525</v>
      </c>
      <c r="P235" s="1">
        <v>168.1</v>
      </c>
      <c r="Q235" s="1">
        <v>155.30000000000001</v>
      </c>
      <c r="R235" s="1">
        <v>12.49</v>
      </c>
      <c r="S235" s="1">
        <v>110.7</v>
      </c>
      <c r="T235" s="1">
        <v>13.01</v>
      </c>
      <c r="U235" s="1">
        <v>7.95</v>
      </c>
      <c r="V235" s="1">
        <v>1</v>
      </c>
      <c r="W235" s="1"/>
    </row>
    <row r="236" spans="1:23">
      <c r="A236" s="1">
        <v>1.1000000000000001</v>
      </c>
      <c r="B236" s="108">
        <f t="shared" si="19"/>
        <v>159.54180000000002</v>
      </c>
      <c r="C236" s="1">
        <v>10.36</v>
      </c>
      <c r="D236" s="1">
        <v>10.47</v>
      </c>
      <c r="E236" s="1">
        <v>1126.8</v>
      </c>
      <c r="F236" s="32">
        <f t="shared" si="20"/>
        <v>42.535091450446622</v>
      </c>
      <c r="G236" s="1">
        <v>2.351E-2</v>
      </c>
      <c r="H236" s="1">
        <v>216.03</v>
      </c>
      <c r="I236" s="1">
        <v>424.07</v>
      </c>
      <c r="J236" s="1">
        <v>1.0567</v>
      </c>
      <c r="K236" s="1">
        <v>1.7903</v>
      </c>
      <c r="L236" s="1">
        <v>1.581</v>
      </c>
      <c r="M236" s="1">
        <v>1.2390000000000001</v>
      </c>
      <c r="N236" s="1">
        <v>1.4339999999999999</v>
      </c>
      <c r="O236" s="1">
        <v>508</v>
      </c>
      <c r="P236" s="1">
        <v>167.2</v>
      </c>
      <c r="Q236" s="1">
        <v>148.80000000000001</v>
      </c>
      <c r="R236" s="1">
        <v>12.65</v>
      </c>
      <c r="S236" s="1">
        <v>108.6</v>
      </c>
      <c r="T236" s="1">
        <v>13.39</v>
      </c>
      <c r="U236" s="1">
        <v>7.46</v>
      </c>
      <c r="V236" s="1">
        <v>1.1000000000000001</v>
      </c>
      <c r="W236" s="1"/>
    </row>
    <row r="237" spans="1:23">
      <c r="A237" s="1">
        <v>1.2</v>
      </c>
      <c r="B237" s="108">
        <f t="shared" si="19"/>
        <v>174.04560000000001</v>
      </c>
      <c r="C237" s="1">
        <v>13.34</v>
      </c>
      <c r="D237" s="1">
        <v>13.46</v>
      </c>
      <c r="E237" s="1">
        <v>1113.7</v>
      </c>
      <c r="F237" s="32">
        <f t="shared" si="20"/>
        <v>46.620046620046622</v>
      </c>
      <c r="G237" s="1">
        <v>2.145E-2</v>
      </c>
      <c r="H237" s="1">
        <v>220.76</v>
      </c>
      <c r="I237" s="1">
        <v>424.68</v>
      </c>
      <c r="J237" s="1">
        <v>1.073</v>
      </c>
      <c r="K237" s="1">
        <v>1.7846</v>
      </c>
      <c r="L237" s="1">
        <v>1.603</v>
      </c>
      <c r="M237" s="1">
        <v>1.274</v>
      </c>
      <c r="N237" s="1">
        <v>1.4570000000000001</v>
      </c>
      <c r="O237" s="1">
        <v>492</v>
      </c>
      <c r="P237" s="1">
        <v>166.3</v>
      </c>
      <c r="Q237" s="1">
        <v>143.1</v>
      </c>
      <c r="R237" s="1">
        <v>12.81</v>
      </c>
      <c r="S237" s="1">
        <v>106.7</v>
      </c>
      <c r="T237" s="1">
        <v>13.79</v>
      </c>
      <c r="U237" s="1">
        <v>7.01</v>
      </c>
      <c r="V237" s="1">
        <v>1.2</v>
      </c>
      <c r="W237" s="1"/>
    </row>
    <row r="238" spans="1:23">
      <c r="A238" s="1">
        <v>1.3</v>
      </c>
      <c r="B238" s="108">
        <f t="shared" si="19"/>
        <v>188.54940000000002</v>
      </c>
      <c r="C238" s="1">
        <v>16.149999999999999</v>
      </c>
      <c r="D238" s="1">
        <v>16.260000000000002</v>
      </c>
      <c r="E238" s="1">
        <v>1101</v>
      </c>
      <c r="F238" s="32">
        <f t="shared" si="20"/>
        <v>50.761421319796959</v>
      </c>
      <c r="G238" s="1">
        <v>1.9699999999999999E-2</v>
      </c>
      <c r="H238" s="1">
        <v>225.26</v>
      </c>
      <c r="I238" s="1">
        <v>425.19</v>
      </c>
      <c r="J238" s="1">
        <v>1.0883</v>
      </c>
      <c r="K238" s="1">
        <v>1.7791999999999999</v>
      </c>
      <c r="L238" s="1">
        <v>1.6240000000000001</v>
      </c>
      <c r="M238" s="1">
        <v>1.31</v>
      </c>
      <c r="N238" s="1">
        <v>1.4810000000000001</v>
      </c>
      <c r="O238" s="1">
        <v>477</v>
      </c>
      <c r="P238" s="1">
        <v>165.4</v>
      </c>
      <c r="Q238" s="1">
        <v>137.80000000000001</v>
      </c>
      <c r="R238" s="1">
        <v>12.95</v>
      </c>
      <c r="S238" s="1">
        <v>104.8</v>
      </c>
      <c r="T238" s="1">
        <v>14.19</v>
      </c>
      <c r="U238" s="1">
        <v>6.59</v>
      </c>
      <c r="V238" s="1">
        <v>1.3</v>
      </c>
      <c r="W238" s="1"/>
    </row>
    <row r="239" spans="1:23">
      <c r="A239" s="1">
        <v>1.4</v>
      </c>
      <c r="B239" s="108">
        <f t="shared" si="19"/>
        <v>203.0532</v>
      </c>
      <c r="C239" s="1">
        <v>18.79</v>
      </c>
      <c r="D239" s="1">
        <v>18.91</v>
      </c>
      <c r="E239" s="1">
        <v>1088.8</v>
      </c>
      <c r="F239" s="32">
        <f t="shared" si="20"/>
        <v>54.975261132490374</v>
      </c>
      <c r="G239" s="1">
        <v>1.8190000000000001E-2</v>
      </c>
      <c r="H239" s="1">
        <v>229.56</v>
      </c>
      <c r="I239" s="1">
        <v>425.59</v>
      </c>
      <c r="J239" s="1">
        <v>1.1027</v>
      </c>
      <c r="K239" s="1">
        <v>1.7741</v>
      </c>
      <c r="L239" s="1">
        <v>1.647</v>
      </c>
      <c r="M239" s="1">
        <v>1.347</v>
      </c>
      <c r="N239" s="1">
        <v>1.506</v>
      </c>
      <c r="O239" s="1">
        <v>462</v>
      </c>
      <c r="P239" s="1">
        <v>164.4</v>
      </c>
      <c r="Q239" s="1">
        <v>133</v>
      </c>
      <c r="R239" s="1">
        <v>13.12</v>
      </c>
      <c r="S239" s="1">
        <v>103.1</v>
      </c>
      <c r="T239" s="1">
        <v>14.6</v>
      </c>
      <c r="U239" s="1">
        <v>6.2</v>
      </c>
      <c r="V239" s="1">
        <v>1.4</v>
      </c>
      <c r="W239" s="1"/>
    </row>
    <row r="240" spans="1:23">
      <c r="A240" s="1">
        <v>1.5</v>
      </c>
      <c r="B240" s="108">
        <f t="shared" si="19"/>
        <v>217.55700000000002</v>
      </c>
      <c r="C240" s="1">
        <v>21.3</v>
      </c>
      <c r="D240" s="1">
        <v>21.41</v>
      </c>
      <c r="E240" s="1">
        <v>1076.9000000000001</v>
      </c>
      <c r="F240" s="32">
        <f t="shared" si="20"/>
        <v>59.276822762299943</v>
      </c>
      <c r="G240" s="1">
        <v>1.687E-2</v>
      </c>
      <c r="H240" s="1">
        <v>233.68</v>
      </c>
      <c r="I240" s="1">
        <v>425.89</v>
      </c>
      <c r="J240" s="1">
        <v>1.1165</v>
      </c>
      <c r="K240" s="1">
        <v>1.7690999999999999</v>
      </c>
      <c r="L240" s="1">
        <v>1.67</v>
      </c>
      <c r="M240" s="1">
        <v>1.385</v>
      </c>
      <c r="N240" s="1">
        <v>1.532</v>
      </c>
      <c r="O240" s="1">
        <v>448</v>
      </c>
      <c r="P240" s="1">
        <v>163.4</v>
      </c>
      <c r="Q240" s="1">
        <v>128.5</v>
      </c>
      <c r="R240" s="1">
        <v>13.23</v>
      </c>
      <c r="S240" s="1">
        <v>101.5</v>
      </c>
      <c r="T240" s="1">
        <v>15.03</v>
      </c>
      <c r="U240" s="1">
        <v>5.83</v>
      </c>
      <c r="V240" s="1">
        <v>1.5</v>
      </c>
      <c r="W240" s="1"/>
    </row>
    <row r="241" spans="1:23">
      <c r="A241" s="1">
        <v>1.6</v>
      </c>
      <c r="B241" s="108">
        <f t="shared" si="19"/>
        <v>232.06080000000003</v>
      </c>
      <c r="C241" s="1">
        <v>23.68</v>
      </c>
      <c r="D241" s="1">
        <v>23.8</v>
      </c>
      <c r="E241" s="1">
        <v>1065.2</v>
      </c>
      <c r="F241" s="32">
        <f t="shared" si="20"/>
        <v>63.653723742838963</v>
      </c>
      <c r="G241" s="1">
        <v>1.5709999999999998E-2</v>
      </c>
      <c r="H241" s="1">
        <v>237.65</v>
      </c>
      <c r="I241" s="1">
        <v>426.11</v>
      </c>
      <c r="J241" s="1">
        <v>1.1295999999999999</v>
      </c>
      <c r="K241" s="1">
        <v>1.7644</v>
      </c>
      <c r="L241" s="1">
        <v>1.694</v>
      </c>
      <c r="M241" s="1">
        <v>1.4239999999999999</v>
      </c>
      <c r="N241" s="1">
        <v>1.56</v>
      </c>
      <c r="O241" s="1">
        <v>435</v>
      </c>
      <c r="P241" s="1">
        <v>162.4</v>
      </c>
      <c r="Q241" s="1">
        <v>124.3</v>
      </c>
      <c r="R241" s="1">
        <v>13.38</v>
      </c>
      <c r="S241" s="1">
        <v>99.98</v>
      </c>
      <c r="T241" s="1">
        <v>15.46</v>
      </c>
      <c r="U241" s="1">
        <v>5.49</v>
      </c>
      <c r="V241" s="1">
        <v>1.6</v>
      </c>
      <c r="W241" s="1"/>
    </row>
    <row r="242" spans="1:23">
      <c r="A242" s="1">
        <v>1.7</v>
      </c>
      <c r="B242" s="108">
        <f t="shared" si="19"/>
        <v>246.56460000000001</v>
      </c>
      <c r="C242" s="1">
        <v>25.96</v>
      </c>
      <c r="D242" s="1">
        <v>26.07</v>
      </c>
      <c r="E242" s="1">
        <v>1053.8</v>
      </c>
      <c r="F242" s="32">
        <f t="shared" si="20"/>
        <v>68.119891008174392</v>
      </c>
      <c r="G242" s="1">
        <v>1.468E-2</v>
      </c>
      <c r="H242" s="1">
        <v>241.48</v>
      </c>
      <c r="I242" s="1">
        <v>426.25</v>
      </c>
      <c r="J242" s="1">
        <v>1.1420999999999999</v>
      </c>
      <c r="K242" s="1">
        <v>1.7597</v>
      </c>
      <c r="L242" s="1">
        <v>1.7190000000000001</v>
      </c>
      <c r="M242" s="1">
        <v>1.4650000000000001</v>
      </c>
      <c r="N242" s="1">
        <v>1.59</v>
      </c>
      <c r="O242" s="1">
        <v>422</v>
      </c>
      <c r="P242" s="1">
        <v>161.4</v>
      </c>
      <c r="Q242" s="1">
        <v>120.4</v>
      </c>
      <c r="R242" s="1">
        <v>13.52</v>
      </c>
      <c r="S242" s="1">
        <v>98.53</v>
      </c>
      <c r="T242" s="1">
        <v>15.91</v>
      </c>
      <c r="U242" s="1">
        <v>5.16</v>
      </c>
      <c r="V242" s="1">
        <v>1.7</v>
      </c>
      <c r="W242" s="1"/>
    </row>
    <row r="243" spans="1:23">
      <c r="A243" s="1">
        <v>1.8</v>
      </c>
      <c r="B243" s="108">
        <f t="shared" si="19"/>
        <v>261.06840000000005</v>
      </c>
      <c r="C243" s="1">
        <v>28.13</v>
      </c>
      <c r="D243" s="1">
        <v>28.25</v>
      </c>
      <c r="E243" s="1">
        <v>1042.5999999999999</v>
      </c>
      <c r="F243" s="32">
        <f t="shared" si="20"/>
        <v>72.674418604651166</v>
      </c>
      <c r="G243" s="1">
        <v>1.376E-2</v>
      </c>
      <c r="H243" s="1">
        <v>245.19</v>
      </c>
      <c r="I243" s="1">
        <v>426.31</v>
      </c>
      <c r="J243" s="1">
        <v>1.1541999999999999</v>
      </c>
      <c r="K243" s="1">
        <v>1.7552000000000001</v>
      </c>
      <c r="L243" s="1">
        <v>1.7450000000000001</v>
      </c>
      <c r="M243" s="1">
        <v>1.5089999999999999</v>
      </c>
      <c r="N243" s="1">
        <v>1.621</v>
      </c>
      <c r="O243" s="1">
        <v>410</v>
      </c>
      <c r="P243" s="1">
        <v>160.30000000000001</v>
      </c>
      <c r="Q243" s="1">
        <v>116.8</v>
      </c>
      <c r="R243" s="1">
        <v>13.66</v>
      </c>
      <c r="S243" s="1">
        <v>97.15</v>
      </c>
      <c r="T243" s="1">
        <v>16.38</v>
      </c>
      <c r="U243" s="1">
        <v>4.8600000000000003</v>
      </c>
      <c r="V243" s="1">
        <v>1.8</v>
      </c>
      <c r="W243" s="1"/>
    </row>
    <row r="244" spans="1:23">
      <c r="A244" s="1">
        <v>1.9</v>
      </c>
      <c r="B244" s="108">
        <f t="shared" si="19"/>
        <v>275.57220000000001</v>
      </c>
      <c r="C244" s="1">
        <v>30.22</v>
      </c>
      <c r="D244" s="1">
        <v>30.34</v>
      </c>
      <c r="E244" s="1">
        <v>1031.5999999999999</v>
      </c>
      <c r="F244" s="32">
        <f t="shared" si="20"/>
        <v>77.33952049497293</v>
      </c>
      <c r="G244" s="1">
        <v>1.2930000000000001E-2</v>
      </c>
      <c r="H244" s="1">
        <v>248.79</v>
      </c>
      <c r="I244" s="1">
        <v>426.31</v>
      </c>
      <c r="J244" s="1">
        <v>1.1657</v>
      </c>
      <c r="K244" s="1">
        <v>1.7507999999999999</v>
      </c>
      <c r="L244" s="1">
        <v>1.772</v>
      </c>
      <c r="M244" s="1">
        <v>1.5549999999999999</v>
      </c>
      <c r="N244" s="1">
        <v>1.655</v>
      </c>
      <c r="O244" s="1">
        <v>398</v>
      </c>
      <c r="P244" s="1">
        <v>159.30000000000001</v>
      </c>
      <c r="Q244" s="1">
        <v>113.3</v>
      </c>
      <c r="R244" s="1">
        <v>13.81</v>
      </c>
      <c r="S244" s="1">
        <v>95.82</v>
      </c>
      <c r="T244" s="1">
        <v>16.86</v>
      </c>
      <c r="U244" s="1">
        <v>4.57</v>
      </c>
      <c r="V244" s="1">
        <v>1.9</v>
      </c>
      <c r="W244" s="1"/>
    </row>
    <row r="245" spans="1:23">
      <c r="A245" s="1">
        <v>2</v>
      </c>
      <c r="B245" s="108">
        <f t="shared" si="19"/>
        <v>290.07600000000002</v>
      </c>
      <c r="C245" s="1">
        <v>32.22</v>
      </c>
      <c r="D245" s="1">
        <v>32.340000000000003</v>
      </c>
      <c r="E245" s="1">
        <v>1020.7</v>
      </c>
      <c r="F245" s="32">
        <f t="shared" si="20"/>
        <v>82.101806239737272</v>
      </c>
      <c r="G245" s="1">
        <v>1.218E-2</v>
      </c>
      <c r="H245" s="1">
        <v>252.29</v>
      </c>
      <c r="I245" s="1">
        <v>426.24</v>
      </c>
      <c r="J245" s="1">
        <v>1.1769000000000001</v>
      </c>
      <c r="K245" s="1">
        <v>1.7464</v>
      </c>
      <c r="L245" s="1">
        <v>1.8</v>
      </c>
      <c r="M245" s="1">
        <v>1.603</v>
      </c>
      <c r="N245" s="1">
        <v>1.69</v>
      </c>
      <c r="O245" s="1">
        <v>386</v>
      </c>
      <c r="P245" s="1">
        <v>158.19999999999999</v>
      </c>
      <c r="Q245" s="1">
        <v>110.1</v>
      </c>
      <c r="R245" s="1">
        <v>13.95</v>
      </c>
      <c r="S245" s="1">
        <v>94.56</v>
      </c>
      <c r="T245" s="1">
        <v>17.36</v>
      </c>
      <c r="U245" s="1">
        <v>4.29</v>
      </c>
      <c r="V245" s="1">
        <v>2</v>
      </c>
      <c r="W245" s="1"/>
    </row>
    <row r="246" spans="1:23">
      <c r="A246" s="1">
        <v>2.1</v>
      </c>
      <c r="B246" s="108">
        <f t="shared" si="19"/>
        <v>304.57980000000003</v>
      </c>
      <c r="C246" s="1">
        <v>34.159999999999997</v>
      </c>
      <c r="D246" s="1">
        <v>34.28</v>
      </c>
      <c r="E246" s="1">
        <v>1009.9</v>
      </c>
      <c r="F246" s="32">
        <f t="shared" si="20"/>
        <v>86.956521739130437</v>
      </c>
      <c r="G246" s="1">
        <v>1.15E-2</v>
      </c>
      <c r="H246" s="1">
        <v>255.71</v>
      </c>
      <c r="I246" s="1">
        <v>426.1</v>
      </c>
      <c r="J246" s="1">
        <v>1.1878</v>
      </c>
      <c r="K246" s="1">
        <v>1.7421</v>
      </c>
      <c r="L246" s="1">
        <v>1.83</v>
      </c>
      <c r="M246" s="1">
        <v>1.655</v>
      </c>
      <c r="N246" s="1">
        <v>1.728</v>
      </c>
      <c r="O246" s="1">
        <v>375</v>
      </c>
      <c r="P246" s="1">
        <v>157.1</v>
      </c>
      <c r="Q246" s="1">
        <v>107</v>
      </c>
      <c r="R246" s="1">
        <v>14.1</v>
      </c>
      <c r="S246" s="1">
        <v>93.34</v>
      </c>
      <c r="T246" s="1">
        <v>17.88</v>
      </c>
      <c r="U246" s="1">
        <v>4.03</v>
      </c>
      <c r="V246" s="1">
        <v>2.1</v>
      </c>
      <c r="W246" s="1"/>
    </row>
    <row r="247" spans="1:23">
      <c r="A247" s="1">
        <v>2.2000000000000002</v>
      </c>
      <c r="B247" s="108">
        <f t="shared" si="19"/>
        <v>319.08360000000005</v>
      </c>
      <c r="C247" s="1">
        <v>36.020000000000003</v>
      </c>
      <c r="D247" s="1">
        <v>36.14</v>
      </c>
      <c r="E247" s="1">
        <v>999.2</v>
      </c>
      <c r="F247" s="32">
        <f t="shared" si="20"/>
        <v>91.911764705882348</v>
      </c>
      <c r="G247" s="1">
        <v>1.0880000000000001E-2</v>
      </c>
      <c r="H247" s="1">
        <v>259.05</v>
      </c>
      <c r="I247" s="1">
        <v>425.9</v>
      </c>
      <c r="J247" s="1">
        <v>1.1982999999999999</v>
      </c>
      <c r="K247" s="1">
        <v>1.7379</v>
      </c>
      <c r="L247" s="1">
        <v>1.861</v>
      </c>
      <c r="M247" s="1">
        <v>1.7090000000000001</v>
      </c>
      <c r="N247" s="1">
        <v>1.7689999999999999</v>
      </c>
      <c r="O247" s="1">
        <v>364</v>
      </c>
      <c r="P247" s="1">
        <v>156</v>
      </c>
      <c r="Q247" s="1">
        <v>104</v>
      </c>
      <c r="R247" s="1">
        <v>14.25</v>
      </c>
      <c r="S247" s="1">
        <v>92.17</v>
      </c>
      <c r="T247" s="1">
        <v>18.420000000000002</v>
      </c>
      <c r="U247" s="1">
        <v>3.78</v>
      </c>
      <c r="V247" s="1">
        <v>2.2000000000000002</v>
      </c>
      <c r="W247" s="1"/>
    </row>
    <row r="248" spans="1:23">
      <c r="A248" s="1">
        <v>2.2999999999999998</v>
      </c>
      <c r="B248" s="108">
        <f t="shared" si="19"/>
        <v>333.5874</v>
      </c>
      <c r="C248" s="1">
        <v>37.82</v>
      </c>
      <c r="D248" s="1">
        <v>37.94</v>
      </c>
      <c r="E248" s="1">
        <v>988.6</v>
      </c>
      <c r="F248" s="32">
        <f t="shared" si="20"/>
        <v>96.993210475266736</v>
      </c>
      <c r="G248" s="1">
        <v>1.031E-2</v>
      </c>
      <c r="H248" s="1">
        <v>262.32</v>
      </c>
      <c r="I248" s="1">
        <v>425.64</v>
      </c>
      <c r="J248" s="1">
        <v>1.2084999999999999</v>
      </c>
      <c r="K248" s="1">
        <v>1.7336</v>
      </c>
      <c r="L248" s="1">
        <v>1.8939999999999999</v>
      </c>
      <c r="M248" s="1">
        <v>1.768</v>
      </c>
      <c r="N248" s="1">
        <v>1.8129999999999999</v>
      </c>
      <c r="O248" s="1">
        <v>353</v>
      </c>
      <c r="P248" s="1">
        <v>154.9</v>
      </c>
      <c r="Q248" s="1">
        <v>101.2</v>
      </c>
      <c r="R248" s="1">
        <v>14.4</v>
      </c>
      <c r="S248" s="1">
        <v>91.05</v>
      </c>
      <c r="T248" s="1">
        <v>18.989999999999998</v>
      </c>
      <c r="U248" s="1">
        <v>3.54</v>
      </c>
      <c r="V248" s="1">
        <v>2.2999999999999998</v>
      </c>
      <c r="W248" s="1"/>
    </row>
    <row r="249" spans="1:23">
      <c r="A249" s="1">
        <v>2.4</v>
      </c>
      <c r="B249" s="108">
        <f t="shared" si="19"/>
        <v>348.09120000000001</v>
      </c>
      <c r="C249" s="1">
        <v>39.56</v>
      </c>
      <c r="D249" s="1">
        <v>39.68</v>
      </c>
      <c r="E249" s="1">
        <v>978</v>
      </c>
      <c r="F249" s="32">
        <f t="shared" si="20"/>
        <v>102.24948875255623</v>
      </c>
      <c r="G249" s="1">
        <v>9.7800000000000005E-3</v>
      </c>
      <c r="H249" s="1">
        <v>265.52</v>
      </c>
      <c r="I249" s="1">
        <v>425.33</v>
      </c>
      <c r="J249" s="1">
        <v>1.2184999999999999</v>
      </c>
      <c r="K249" s="1">
        <v>1.7294</v>
      </c>
      <c r="L249" s="1">
        <v>1.929</v>
      </c>
      <c r="M249" s="1">
        <v>1.831</v>
      </c>
      <c r="N249" s="1">
        <v>1.86</v>
      </c>
      <c r="O249" s="1">
        <v>343</v>
      </c>
      <c r="P249" s="1">
        <v>153.80000000000001</v>
      </c>
      <c r="Q249" s="1">
        <v>98.5</v>
      </c>
      <c r="R249" s="1">
        <v>14.55</v>
      </c>
      <c r="S249" s="1">
        <v>89.96</v>
      </c>
      <c r="T249" s="1">
        <v>19.579999999999998</v>
      </c>
      <c r="U249" s="1">
        <v>3.31</v>
      </c>
      <c r="V249" s="1">
        <v>2.4</v>
      </c>
      <c r="W249" s="1"/>
    </row>
    <row r="250" spans="1:23">
      <c r="A250" s="1">
        <v>2.5</v>
      </c>
      <c r="B250" s="108">
        <f t="shared" si="19"/>
        <v>362.59500000000003</v>
      </c>
      <c r="C250" s="1">
        <v>41.25</v>
      </c>
      <c r="D250" s="1">
        <v>41.37</v>
      </c>
      <c r="E250" s="1">
        <v>967.5</v>
      </c>
      <c r="F250" s="32">
        <f t="shared" si="20"/>
        <v>107.64262648008612</v>
      </c>
      <c r="G250" s="1">
        <v>9.2899999999999996E-3</v>
      </c>
      <c r="H250" s="1">
        <v>268.67</v>
      </c>
      <c r="I250" s="1">
        <v>424.95</v>
      </c>
      <c r="J250" s="1">
        <v>1.2282</v>
      </c>
      <c r="K250" s="1">
        <v>1.7251000000000001</v>
      </c>
      <c r="L250" s="1">
        <v>1.9670000000000001</v>
      </c>
      <c r="M250" s="1">
        <v>1.8979999999999999</v>
      </c>
      <c r="N250" s="1">
        <v>1.911</v>
      </c>
      <c r="O250" s="1">
        <v>332</v>
      </c>
      <c r="P250" s="1">
        <v>152.6</v>
      </c>
      <c r="Q250" s="1">
        <v>95.9</v>
      </c>
      <c r="R250" s="1">
        <v>14.71</v>
      </c>
      <c r="S250" s="1">
        <v>88.91</v>
      </c>
      <c r="T250" s="1">
        <v>20.21</v>
      </c>
      <c r="U250" s="1">
        <v>3.1</v>
      </c>
      <c r="V250" s="1">
        <v>2.5</v>
      </c>
      <c r="W250" s="1"/>
    </row>
    <row r="251" spans="1:23">
      <c r="A251" s="1">
        <v>2.6</v>
      </c>
      <c r="B251" s="108">
        <f t="shared" si="19"/>
        <v>377.09880000000004</v>
      </c>
      <c r="C251" s="1">
        <v>42.89</v>
      </c>
      <c r="D251" s="1">
        <v>43</v>
      </c>
      <c r="E251" s="1">
        <v>957</v>
      </c>
      <c r="F251" s="32">
        <f t="shared" si="20"/>
        <v>113.25028312570782</v>
      </c>
      <c r="G251" s="1">
        <v>8.8299999999999993E-3</v>
      </c>
      <c r="H251" s="1">
        <v>271.77</v>
      </c>
      <c r="I251" s="1">
        <v>424.51</v>
      </c>
      <c r="J251" s="1">
        <v>1.2377</v>
      </c>
      <c r="K251" s="1">
        <v>1.7209000000000001</v>
      </c>
      <c r="L251" s="1">
        <v>2.008</v>
      </c>
      <c r="M251" s="1">
        <v>1.9710000000000001</v>
      </c>
      <c r="N251" s="1">
        <v>1.966</v>
      </c>
      <c r="O251" s="1">
        <v>322</v>
      </c>
      <c r="P251" s="1">
        <v>151.5</v>
      </c>
      <c r="Q251" s="1">
        <v>93.4</v>
      </c>
      <c r="R251" s="1">
        <v>14.87</v>
      </c>
      <c r="S251" s="1">
        <v>87.89</v>
      </c>
      <c r="T251" s="1">
        <v>20.87</v>
      </c>
      <c r="U251" s="1">
        <v>2.89</v>
      </c>
      <c r="V251" s="1">
        <v>2.6</v>
      </c>
      <c r="W251" s="1"/>
    </row>
    <row r="252" spans="1:23">
      <c r="A252" s="1">
        <v>2.7</v>
      </c>
      <c r="B252" s="108">
        <f t="shared" si="19"/>
        <v>391.60260000000005</v>
      </c>
      <c r="C252" s="1">
        <v>44.48</v>
      </c>
      <c r="D252" s="1">
        <v>44.59</v>
      </c>
      <c r="E252" s="1">
        <v>946.4</v>
      </c>
      <c r="F252" s="32">
        <f t="shared" si="20"/>
        <v>118.90606420927466</v>
      </c>
      <c r="G252" s="1">
        <v>8.4100000000000008E-3</v>
      </c>
      <c r="H252" s="1">
        <v>274.82</v>
      </c>
      <c r="I252" s="1">
        <v>424.02</v>
      </c>
      <c r="J252" s="1">
        <v>1.2470000000000001</v>
      </c>
      <c r="K252" s="1">
        <v>1.7165999999999999</v>
      </c>
      <c r="L252" s="1">
        <v>2.052</v>
      </c>
      <c r="M252" s="1">
        <v>2.0499999999999998</v>
      </c>
      <c r="N252" s="1">
        <v>2.0259999999999998</v>
      </c>
      <c r="O252" s="1">
        <v>313</v>
      </c>
      <c r="P252" s="1">
        <v>150.30000000000001</v>
      </c>
      <c r="Q252" s="1">
        <v>91</v>
      </c>
      <c r="R252" s="1">
        <v>15.03</v>
      </c>
      <c r="S252" s="1">
        <v>86.91</v>
      </c>
      <c r="T252" s="1">
        <v>21.56</v>
      </c>
      <c r="U252" s="1">
        <v>2.69</v>
      </c>
      <c r="V252" s="1">
        <v>2.7</v>
      </c>
      <c r="W252" s="1"/>
    </row>
    <row r="253" spans="1:23">
      <c r="A253" s="1">
        <v>2.8</v>
      </c>
      <c r="B253" s="108">
        <f t="shared" si="19"/>
        <v>406.10640000000001</v>
      </c>
      <c r="C253" s="1">
        <v>46.02</v>
      </c>
      <c r="D253" s="1">
        <v>46.14</v>
      </c>
      <c r="E253" s="1">
        <v>935.8</v>
      </c>
      <c r="F253" s="32">
        <f t="shared" si="20"/>
        <v>124.68827930174565</v>
      </c>
      <c r="G253" s="1">
        <v>8.0199999999999994E-3</v>
      </c>
      <c r="H253" s="1">
        <v>277.83999999999997</v>
      </c>
      <c r="I253" s="1">
        <v>423.47</v>
      </c>
      <c r="J253" s="1">
        <v>1.2561</v>
      </c>
      <c r="K253" s="1">
        <v>1.7122999999999999</v>
      </c>
      <c r="L253" s="1">
        <v>2.1</v>
      </c>
      <c r="M253" s="1">
        <v>2.1360000000000001</v>
      </c>
      <c r="N253" s="1">
        <v>2.0910000000000002</v>
      </c>
      <c r="O253" s="1">
        <v>303</v>
      </c>
      <c r="P253" s="1">
        <v>149.1</v>
      </c>
      <c r="Q253" s="1">
        <v>88.6</v>
      </c>
      <c r="R253" s="1">
        <v>15.21</v>
      </c>
      <c r="S253" s="1">
        <v>85.96</v>
      </c>
      <c r="T253" s="1">
        <v>22.29</v>
      </c>
      <c r="U253" s="1">
        <v>2.5</v>
      </c>
      <c r="V253" s="1">
        <v>2.8</v>
      </c>
      <c r="W253" s="1"/>
    </row>
    <row r="254" spans="1:23">
      <c r="A254" s="1">
        <v>2.9</v>
      </c>
      <c r="B254" s="108">
        <f t="shared" si="19"/>
        <v>420.61020000000002</v>
      </c>
      <c r="C254" s="1">
        <v>47.53</v>
      </c>
      <c r="D254" s="1">
        <v>47.64</v>
      </c>
      <c r="E254" s="1">
        <v>925.2</v>
      </c>
      <c r="F254" s="32">
        <f t="shared" si="20"/>
        <v>130.89005235602093</v>
      </c>
      <c r="G254" s="1">
        <v>7.6400000000000001E-3</v>
      </c>
      <c r="H254" s="1">
        <v>280.82</v>
      </c>
      <c r="I254" s="1">
        <v>422.85</v>
      </c>
      <c r="J254" s="1">
        <v>1.2650999999999999</v>
      </c>
      <c r="K254" s="1">
        <v>1.7079</v>
      </c>
      <c r="L254" s="1">
        <v>2.153</v>
      </c>
      <c r="M254" s="1">
        <v>2.23</v>
      </c>
      <c r="N254" s="1">
        <v>2.1629999999999998</v>
      </c>
      <c r="O254" s="1">
        <v>293</v>
      </c>
      <c r="P254" s="1">
        <v>147.9</v>
      </c>
      <c r="Q254" s="1">
        <v>86.3</v>
      </c>
      <c r="R254" s="1">
        <v>15.38</v>
      </c>
      <c r="S254" s="1">
        <v>85.04</v>
      </c>
      <c r="T254" s="1">
        <v>23.07</v>
      </c>
      <c r="U254" s="1">
        <v>2.31</v>
      </c>
      <c r="V254" s="1">
        <v>2.9</v>
      </c>
      <c r="W254" s="1"/>
    </row>
    <row r="255" spans="1:23">
      <c r="A255" s="1">
        <v>3</v>
      </c>
      <c r="B255" s="108">
        <f t="shared" si="19"/>
        <v>435.11400000000003</v>
      </c>
      <c r="C255" s="1">
        <v>48.99</v>
      </c>
      <c r="D255" s="1">
        <v>49.1</v>
      </c>
      <c r="E255" s="1">
        <v>914.5</v>
      </c>
      <c r="F255" s="32">
        <f t="shared" si="20"/>
        <v>137.17421124828533</v>
      </c>
      <c r="G255" s="1">
        <v>7.2899999999999996E-3</v>
      </c>
      <c r="H255" s="1">
        <v>283.77999999999997</v>
      </c>
      <c r="I255" s="1">
        <v>422.18</v>
      </c>
      <c r="J255" s="1">
        <v>1.274</v>
      </c>
      <c r="K255" s="1">
        <v>1.7035</v>
      </c>
      <c r="L255" s="1">
        <v>2.2109999999999999</v>
      </c>
      <c r="M255" s="1">
        <v>2.3330000000000002</v>
      </c>
      <c r="N255" s="1">
        <v>2.2429999999999999</v>
      </c>
      <c r="O255" s="1">
        <v>284</v>
      </c>
      <c r="P255" s="1">
        <v>146.69999999999999</v>
      </c>
      <c r="Q255" s="1">
        <v>84.1</v>
      </c>
      <c r="R255" s="1">
        <v>15.57</v>
      </c>
      <c r="S255" s="1">
        <v>84.14</v>
      </c>
      <c r="T255" s="1">
        <v>23.89</v>
      </c>
      <c r="U255" s="1">
        <v>2.14</v>
      </c>
      <c r="V255" s="1">
        <v>3</v>
      </c>
      <c r="W255" s="1"/>
    </row>
    <row r="256" spans="1:23">
      <c r="A256" s="1">
        <v>3.2</v>
      </c>
      <c r="B256" s="108">
        <f t="shared" si="19"/>
        <v>464.12160000000006</v>
      </c>
      <c r="C256" s="1">
        <v>51.81</v>
      </c>
      <c r="D256" s="1">
        <v>51.91</v>
      </c>
      <c r="E256" s="1">
        <v>892.6</v>
      </c>
      <c r="F256" s="32">
        <f t="shared" si="20"/>
        <v>150.37593984962407</v>
      </c>
      <c r="G256" s="1">
        <v>6.6499999999999997E-3</v>
      </c>
      <c r="H256" s="1">
        <v>289.62</v>
      </c>
      <c r="I256" s="1">
        <v>420.62</v>
      </c>
      <c r="J256" s="1">
        <v>1.2912999999999999</v>
      </c>
      <c r="K256" s="1">
        <v>1.6943999999999999</v>
      </c>
      <c r="L256" s="1">
        <v>2.3479999999999999</v>
      </c>
      <c r="M256" s="1">
        <v>2.5750000000000002</v>
      </c>
      <c r="N256" s="1">
        <v>2.4289999999999998</v>
      </c>
      <c r="O256" s="1">
        <v>265</v>
      </c>
      <c r="P256" s="1">
        <v>144.19999999999999</v>
      </c>
      <c r="Q256" s="1">
        <v>79.900000000000006</v>
      </c>
      <c r="R256" s="1">
        <v>15.96</v>
      </c>
      <c r="S256" s="1">
        <v>82.42</v>
      </c>
      <c r="T256" s="1">
        <v>25.7</v>
      </c>
      <c r="U256" s="1">
        <v>1.81</v>
      </c>
      <c r="V256" s="1">
        <v>3.2</v>
      </c>
      <c r="W256" s="1"/>
    </row>
    <row r="257" spans="1:23">
      <c r="A257" s="1">
        <v>3.4</v>
      </c>
      <c r="B257" s="108">
        <f t="shared" si="19"/>
        <v>493.12920000000003</v>
      </c>
      <c r="C257" s="1">
        <v>54.49</v>
      </c>
      <c r="D257" s="1">
        <v>54.59</v>
      </c>
      <c r="E257" s="1">
        <v>870</v>
      </c>
      <c r="F257" s="32">
        <f t="shared" si="20"/>
        <v>164.74464579901152</v>
      </c>
      <c r="G257" s="1">
        <v>6.0699999999999999E-3</v>
      </c>
      <c r="H257" s="1">
        <v>295.43</v>
      </c>
      <c r="I257" s="1">
        <v>418.78</v>
      </c>
      <c r="J257" s="1">
        <v>1.3085</v>
      </c>
      <c r="K257" s="1">
        <v>1.6849000000000001</v>
      </c>
      <c r="L257" s="1">
        <v>2.5219999999999998</v>
      </c>
      <c r="M257" s="1">
        <v>2.879</v>
      </c>
      <c r="N257" s="1">
        <v>2.6629999999999998</v>
      </c>
      <c r="O257" s="1">
        <v>247</v>
      </c>
      <c r="P257" s="1">
        <v>141.69999999999999</v>
      </c>
      <c r="Q257" s="1">
        <v>75.7</v>
      </c>
      <c r="R257" s="1">
        <v>16.39</v>
      </c>
      <c r="S257" s="1">
        <v>80.81</v>
      </c>
      <c r="T257" s="1">
        <v>27.77</v>
      </c>
      <c r="U257" s="1">
        <v>1.5</v>
      </c>
      <c r="V257" s="1">
        <v>3.4</v>
      </c>
      <c r="W257" s="1"/>
    </row>
    <row r="258" spans="1:23">
      <c r="A258" s="1">
        <v>3.6</v>
      </c>
      <c r="B258" s="108">
        <f t="shared" si="19"/>
        <v>522.13680000000011</v>
      </c>
      <c r="C258" s="1">
        <v>57.05</v>
      </c>
      <c r="D258" s="1">
        <v>57.15</v>
      </c>
      <c r="E258" s="1">
        <v>846.3</v>
      </c>
      <c r="F258" s="32">
        <f t="shared" si="20"/>
        <v>180.18018018018017</v>
      </c>
      <c r="G258" s="1">
        <v>5.5500000000000002E-3</v>
      </c>
      <c r="H258" s="1">
        <v>301.26</v>
      </c>
      <c r="I258" s="1">
        <v>416.6</v>
      </c>
      <c r="J258" s="1">
        <v>1.3253999999999999</v>
      </c>
      <c r="K258" s="1">
        <v>1.6747000000000001</v>
      </c>
      <c r="L258" s="1">
        <v>2.7519999999999998</v>
      </c>
      <c r="M258" s="1">
        <v>3.2759999999999998</v>
      </c>
      <c r="N258" s="1">
        <v>2.97</v>
      </c>
      <c r="O258" s="1">
        <v>229</v>
      </c>
      <c r="P258" s="1">
        <v>139</v>
      </c>
      <c r="Q258" s="1">
        <v>71.7</v>
      </c>
      <c r="R258" s="1">
        <v>16.87</v>
      </c>
      <c r="S258" s="1">
        <v>79.290000000000006</v>
      </c>
      <c r="T258" s="1">
        <v>30.17</v>
      </c>
      <c r="U258" s="1">
        <v>1.22</v>
      </c>
      <c r="V258" s="1">
        <v>3.6</v>
      </c>
      <c r="W258" s="1"/>
    </row>
    <row r="259" spans="1:23">
      <c r="A259" s="1">
        <v>3.8</v>
      </c>
      <c r="B259" s="108">
        <f t="shared" si="19"/>
        <v>551.14440000000002</v>
      </c>
      <c r="C259" s="1">
        <v>59.5</v>
      </c>
      <c r="D259" s="1">
        <v>59.59</v>
      </c>
      <c r="E259" s="1">
        <v>821</v>
      </c>
      <c r="F259" s="32">
        <f t="shared" si="20"/>
        <v>197.62845849802372</v>
      </c>
      <c r="G259" s="1">
        <v>5.0600000000000003E-3</v>
      </c>
      <c r="H259" s="1">
        <v>307.16000000000003</v>
      </c>
      <c r="I259" s="1">
        <v>414.03</v>
      </c>
      <c r="J259" s="1">
        <v>1.3425</v>
      </c>
      <c r="K259" s="1">
        <v>1.6637999999999999</v>
      </c>
      <c r="L259" s="1">
        <v>3.07</v>
      </c>
      <c r="M259" s="1">
        <v>3.8149999999999999</v>
      </c>
      <c r="N259" s="1">
        <v>3.3860000000000001</v>
      </c>
      <c r="O259" s="1">
        <v>210</v>
      </c>
      <c r="P259" s="1">
        <v>136.30000000000001</v>
      </c>
      <c r="Q259" s="1">
        <v>67.7</v>
      </c>
      <c r="R259" s="1">
        <v>17.43</v>
      </c>
      <c r="S259" s="1">
        <v>77.900000000000006</v>
      </c>
      <c r="T259" s="1">
        <v>33.020000000000003</v>
      </c>
      <c r="U259" s="1">
        <v>0.97</v>
      </c>
      <c r="V259" s="1">
        <v>3.8</v>
      </c>
      <c r="W259" s="1"/>
    </row>
    <row r="260" spans="1:23">
      <c r="A260" s="1">
        <v>4</v>
      </c>
      <c r="B260" s="108">
        <f t="shared" si="19"/>
        <v>580.15200000000004</v>
      </c>
      <c r="C260" s="1">
        <v>61.85</v>
      </c>
      <c r="D260" s="1">
        <v>61.93</v>
      </c>
      <c r="E260" s="1">
        <v>793.5</v>
      </c>
      <c r="F260" s="32">
        <f t="shared" si="20"/>
        <v>217.39130434782609</v>
      </c>
      <c r="G260" s="1">
        <v>4.5999999999999999E-3</v>
      </c>
      <c r="H260" s="1">
        <v>313.24</v>
      </c>
      <c r="I260" s="1">
        <v>410.97</v>
      </c>
      <c r="J260" s="1">
        <v>1.36</v>
      </c>
      <c r="K260" s="1">
        <v>1.6516999999999999</v>
      </c>
      <c r="L260" s="1">
        <v>3.5409999999999999</v>
      </c>
      <c r="M260" s="1">
        <v>4.5960000000000001</v>
      </c>
      <c r="N260" s="1">
        <v>3.9870000000000001</v>
      </c>
      <c r="O260" s="1">
        <v>192</v>
      </c>
      <c r="P260" s="1">
        <v>133.4</v>
      </c>
      <c r="Q260" s="1">
        <v>63.7</v>
      </c>
      <c r="R260" s="1">
        <v>18.079999999999998</v>
      </c>
      <c r="S260" s="1">
        <v>76.680000000000007</v>
      </c>
      <c r="T260" s="1">
        <v>36.479999999999997</v>
      </c>
      <c r="U260" s="1">
        <v>0.74</v>
      </c>
      <c r="V260" s="1">
        <v>4</v>
      </c>
      <c r="W260" s="1"/>
    </row>
    <row r="261" spans="1:23">
      <c r="A261" s="1">
        <v>4.2</v>
      </c>
      <c r="B261" s="108">
        <f t="shared" si="19"/>
        <v>609.15960000000007</v>
      </c>
      <c r="C261" s="1">
        <v>64.099999999999994</v>
      </c>
      <c r="D261" s="1">
        <v>64.17</v>
      </c>
      <c r="E261" s="1">
        <v>762.6</v>
      </c>
      <c r="F261" s="32">
        <f t="shared" si="20"/>
        <v>239.80815347721821</v>
      </c>
      <c r="G261" s="1">
        <v>4.1700000000000001E-3</v>
      </c>
      <c r="H261" s="1">
        <v>319.64999999999998</v>
      </c>
      <c r="I261" s="1">
        <v>407.24</v>
      </c>
      <c r="J261" s="1">
        <v>1.3783000000000001</v>
      </c>
      <c r="K261" s="1">
        <v>1.6379999999999999</v>
      </c>
      <c r="L261" s="1">
        <v>4.306</v>
      </c>
      <c r="M261" s="1">
        <v>5.8259999999999996</v>
      </c>
      <c r="N261" s="1">
        <v>4.9290000000000003</v>
      </c>
      <c r="O261" s="1">
        <v>173</v>
      </c>
      <c r="P261" s="1">
        <v>130.4</v>
      </c>
      <c r="Q261" s="1">
        <v>59.4</v>
      </c>
      <c r="R261" s="1">
        <v>18.87</v>
      </c>
      <c r="S261" s="1">
        <v>75.77</v>
      </c>
      <c r="T261" s="1">
        <v>40.86</v>
      </c>
      <c r="U261" s="1">
        <v>0.53</v>
      </c>
      <c r="V261" s="1">
        <v>4.2</v>
      </c>
      <c r="W261" s="1"/>
    </row>
    <row r="262" spans="1:23">
      <c r="A262" s="1" t="s">
        <v>408</v>
      </c>
      <c r="B262" s="108">
        <f t="shared" si="19"/>
        <v>711.12131399999998</v>
      </c>
      <c r="C262" s="1">
        <v>71.36</v>
      </c>
      <c r="D262" s="1">
        <v>71.36</v>
      </c>
      <c r="E262" s="1">
        <v>459.5</v>
      </c>
      <c r="F262" s="32">
        <f t="shared" si="20"/>
        <v>458.71559633027522</v>
      </c>
      <c r="G262" s="1">
        <v>2.1800000000000001E-3</v>
      </c>
      <c r="H262" s="1">
        <v>368.55</v>
      </c>
      <c r="I262" s="1">
        <v>368.55</v>
      </c>
      <c r="J262" s="1">
        <v>1.5181</v>
      </c>
      <c r="K262" s="1">
        <v>1.5181</v>
      </c>
      <c r="L262" s="1" t="s">
        <v>311</v>
      </c>
      <c r="M262" s="1" t="s">
        <v>311</v>
      </c>
      <c r="N262" s="1" t="s">
        <v>311</v>
      </c>
      <c r="O262" s="1" t="s">
        <v>311</v>
      </c>
      <c r="P262" s="1" t="s">
        <v>311</v>
      </c>
      <c r="Q262" s="1" t="s">
        <v>311</v>
      </c>
      <c r="R262" s="1" t="s">
        <v>311</v>
      </c>
      <c r="S262" s="1" t="s">
        <v>311</v>
      </c>
      <c r="T262" s="1" t="s">
        <v>311</v>
      </c>
      <c r="U262" s="1">
        <v>0</v>
      </c>
      <c r="V262" s="1">
        <v>4.9029999999999996</v>
      </c>
      <c r="W262" s="1"/>
    </row>
    <row r="263" spans="1:23">
      <c r="A263" s="1"/>
      <c r="B263" s="1"/>
      <c r="C263" s="108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3">
      <c r="A264" s="1"/>
      <c r="B264" s="1"/>
      <c r="C264" s="108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3">
      <c r="A265" s="1"/>
      <c r="B265" s="1"/>
      <c r="C265" s="108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3">
      <c r="A266" s="109" t="s">
        <v>312</v>
      </c>
      <c r="B266" s="110" t="s">
        <v>313</v>
      </c>
      <c r="C266" s="110" t="s">
        <v>331</v>
      </c>
      <c r="D266" s="110" t="s">
        <v>314</v>
      </c>
      <c r="E266" s="110" t="s">
        <v>315</v>
      </c>
      <c r="F266" s="110" t="s">
        <v>332</v>
      </c>
      <c r="G266" s="110" t="s">
        <v>316</v>
      </c>
      <c r="H266" s="110" t="s">
        <v>317</v>
      </c>
      <c r="I266" s="110" t="s">
        <v>318</v>
      </c>
      <c r="J266" s="110" t="s">
        <v>319</v>
      </c>
      <c r="K266" s="110" t="s">
        <v>320</v>
      </c>
      <c r="L266" s="110" t="s">
        <v>321</v>
      </c>
      <c r="M266" s="111" t="s">
        <v>322</v>
      </c>
      <c r="N266" s="110" t="s">
        <v>323</v>
      </c>
      <c r="O266" s="110" t="s">
        <v>324</v>
      </c>
      <c r="P266" s="110" t="s">
        <v>325</v>
      </c>
      <c r="Q266" s="110" t="s">
        <v>326</v>
      </c>
      <c r="R266" s="110" t="s">
        <v>327</v>
      </c>
      <c r="S266" s="110" t="s">
        <v>328</v>
      </c>
      <c r="T266" s="110" t="s">
        <v>329</v>
      </c>
      <c r="U266" s="112" t="s">
        <v>466</v>
      </c>
    </row>
    <row r="267" spans="1:23">
      <c r="A267" s="1">
        <v>-100</v>
      </c>
      <c r="B267" s="1">
        <v>2.9499999999999999E-3</v>
      </c>
      <c r="C267" s="108">
        <f t="shared" ref="C267:C330" si="21">B267*145.038</f>
        <v>0.42786210000000002</v>
      </c>
      <c r="D267" s="1">
        <v>1476.9</v>
      </c>
      <c r="E267" s="1">
        <f t="shared" ref="E267:E330" si="22">1/F267</f>
        <v>0.20287267710784712</v>
      </c>
      <c r="F267" s="1">
        <v>4.9291999999999998</v>
      </c>
      <c r="G267" s="1">
        <v>74.41</v>
      </c>
      <c r="H267" s="1">
        <v>303.89999999999998</v>
      </c>
      <c r="I267" s="1">
        <v>0.43230000000000002</v>
      </c>
      <c r="J267" s="1">
        <v>1.7579</v>
      </c>
      <c r="K267" s="1">
        <v>1.2190000000000001</v>
      </c>
      <c r="L267" s="1">
        <v>0.61799999999999999</v>
      </c>
      <c r="M267" s="1">
        <v>1.1639999999999999</v>
      </c>
      <c r="N267" s="1">
        <v>1046</v>
      </c>
      <c r="O267" s="1">
        <v>129.6</v>
      </c>
      <c r="P267" s="1" t="s">
        <v>311</v>
      </c>
      <c r="Q267" s="1" t="s">
        <v>311</v>
      </c>
      <c r="R267" s="1">
        <v>124.6</v>
      </c>
      <c r="S267" s="1">
        <v>5.77</v>
      </c>
      <c r="T267" s="1">
        <v>18.350000000000001</v>
      </c>
      <c r="U267" s="1">
        <v>-100</v>
      </c>
    </row>
    <row r="268" spans="1:23">
      <c r="A268" s="1">
        <v>-95</v>
      </c>
      <c r="B268" s="1">
        <v>4.5799999999999999E-3</v>
      </c>
      <c r="C268" s="108">
        <f t="shared" si="21"/>
        <v>0.66427404000000001</v>
      </c>
      <c r="D268" s="1">
        <v>1461.7</v>
      </c>
      <c r="E268" s="1">
        <f t="shared" si="22"/>
        <v>0.30735185640521268</v>
      </c>
      <c r="F268" s="1">
        <v>3.2536</v>
      </c>
      <c r="G268" s="1">
        <v>80.48</v>
      </c>
      <c r="H268" s="1">
        <v>306.85000000000002</v>
      </c>
      <c r="I268" s="1">
        <v>0.46689999999999998</v>
      </c>
      <c r="J268" s="1">
        <v>1.7377</v>
      </c>
      <c r="K268" s="1">
        <v>1.21</v>
      </c>
      <c r="L268" s="1">
        <v>0.63100000000000001</v>
      </c>
      <c r="M268" s="1">
        <v>1.1619999999999999</v>
      </c>
      <c r="N268" s="1">
        <v>1000</v>
      </c>
      <c r="O268" s="1">
        <v>131.19999999999999</v>
      </c>
      <c r="P268" s="1">
        <v>784.2</v>
      </c>
      <c r="Q268" s="1">
        <v>7.29</v>
      </c>
      <c r="R268" s="1">
        <v>121.7</v>
      </c>
      <c r="S268" s="1">
        <v>6.06</v>
      </c>
      <c r="T268" s="1">
        <v>17.88</v>
      </c>
      <c r="U268" s="1">
        <v>-95</v>
      </c>
    </row>
    <row r="269" spans="1:23">
      <c r="A269" s="1">
        <v>-90</v>
      </c>
      <c r="B269" s="1">
        <v>6.9300000000000004E-3</v>
      </c>
      <c r="C269" s="108">
        <f t="shared" si="21"/>
        <v>1.0051133400000001</v>
      </c>
      <c r="D269" s="1">
        <v>1446.8</v>
      </c>
      <c r="E269" s="1">
        <f t="shared" si="22"/>
        <v>0.45279601539506453</v>
      </c>
      <c r="F269" s="1">
        <v>2.2084999999999999</v>
      </c>
      <c r="G269" s="1">
        <v>86.51</v>
      </c>
      <c r="H269" s="1">
        <v>309.83</v>
      </c>
      <c r="I269" s="1">
        <v>0.50029999999999997</v>
      </c>
      <c r="J269" s="1">
        <v>1.7197</v>
      </c>
      <c r="K269" s="1">
        <v>1.2050000000000001</v>
      </c>
      <c r="L269" s="1">
        <v>0.64400000000000002</v>
      </c>
      <c r="M269" s="1">
        <v>1.161</v>
      </c>
      <c r="N269" s="1">
        <v>960</v>
      </c>
      <c r="O269" s="1">
        <v>132.6</v>
      </c>
      <c r="P269" s="1">
        <v>701.5</v>
      </c>
      <c r="Q269" s="1">
        <v>7.49</v>
      </c>
      <c r="R269" s="1">
        <v>118.8</v>
      </c>
      <c r="S269" s="1">
        <v>6.36</v>
      </c>
      <c r="T269" s="1">
        <v>17.41</v>
      </c>
      <c r="U269" s="1">
        <v>-90</v>
      </c>
    </row>
    <row r="270" spans="1:23">
      <c r="A270" s="1">
        <v>-85</v>
      </c>
      <c r="B270" s="1">
        <v>1.0189999999999999E-2</v>
      </c>
      <c r="C270" s="108">
        <f t="shared" si="21"/>
        <v>1.4779372200000001</v>
      </c>
      <c r="D270" s="1">
        <v>1431.9</v>
      </c>
      <c r="E270" s="1">
        <f t="shared" si="22"/>
        <v>0.65040650406504064</v>
      </c>
      <c r="F270" s="1">
        <v>1.5375000000000001</v>
      </c>
      <c r="G270" s="1">
        <v>92.53</v>
      </c>
      <c r="H270" s="1">
        <v>312.83</v>
      </c>
      <c r="I270" s="1">
        <v>0.53269999999999995</v>
      </c>
      <c r="J270" s="1">
        <v>1.7036</v>
      </c>
      <c r="K270" s="1">
        <v>1.2030000000000001</v>
      </c>
      <c r="L270" s="1">
        <v>0.65800000000000003</v>
      </c>
      <c r="M270" s="1">
        <v>1.159</v>
      </c>
      <c r="N270" s="1">
        <v>925</v>
      </c>
      <c r="O270" s="1">
        <v>134</v>
      </c>
      <c r="P270" s="1">
        <v>631.9</v>
      </c>
      <c r="Q270" s="1">
        <v>7.68</v>
      </c>
      <c r="R270" s="1">
        <v>116.1</v>
      </c>
      <c r="S270" s="1">
        <v>6.67</v>
      </c>
      <c r="T270" s="1">
        <v>16.920000000000002</v>
      </c>
      <c r="U270" s="1">
        <v>-85</v>
      </c>
    </row>
    <row r="271" spans="1:23">
      <c r="A271" s="1">
        <v>-80</v>
      </c>
      <c r="B271" s="1">
        <v>1.464E-2</v>
      </c>
      <c r="C271" s="108">
        <f t="shared" si="21"/>
        <v>2.1233563200000001</v>
      </c>
      <c r="D271" s="1">
        <v>1417.1</v>
      </c>
      <c r="E271" s="1">
        <f t="shared" si="22"/>
        <v>0.91315861565153866</v>
      </c>
      <c r="F271" s="1">
        <v>1.0951</v>
      </c>
      <c r="G271" s="1">
        <v>98.54</v>
      </c>
      <c r="H271" s="1">
        <v>315.85000000000002</v>
      </c>
      <c r="I271" s="1">
        <v>0.56420000000000003</v>
      </c>
      <c r="J271" s="1">
        <v>1.6893</v>
      </c>
      <c r="K271" s="1">
        <v>1.2030000000000001</v>
      </c>
      <c r="L271" s="1">
        <v>0.67200000000000004</v>
      </c>
      <c r="M271" s="1">
        <v>1.159</v>
      </c>
      <c r="N271" s="1">
        <v>892</v>
      </c>
      <c r="O271" s="1">
        <v>135.4</v>
      </c>
      <c r="P271" s="1">
        <v>572.70000000000005</v>
      </c>
      <c r="Q271" s="1">
        <v>7.88</v>
      </c>
      <c r="R271" s="1">
        <v>113.4</v>
      </c>
      <c r="S271" s="1">
        <v>6.99</v>
      </c>
      <c r="T271" s="1">
        <v>16.43</v>
      </c>
      <c r="U271" s="1">
        <v>-80</v>
      </c>
    </row>
    <row r="272" spans="1:23">
      <c r="A272" s="1">
        <v>-75</v>
      </c>
      <c r="B272" s="1">
        <v>2.0580000000000001E-2</v>
      </c>
      <c r="C272" s="108">
        <f t="shared" si="21"/>
        <v>2.9848820400000005</v>
      </c>
      <c r="D272" s="1">
        <v>1402.3</v>
      </c>
      <c r="E272" s="1">
        <f t="shared" si="22"/>
        <v>1.2556819608729501</v>
      </c>
      <c r="F272" s="1">
        <v>0.79637999999999998</v>
      </c>
      <c r="G272" s="1">
        <v>104.57</v>
      </c>
      <c r="H272" s="1">
        <v>318.88</v>
      </c>
      <c r="I272" s="1">
        <v>0.59499999999999997</v>
      </c>
      <c r="J272" s="1">
        <v>1.6766000000000001</v>
      </c>
      <c r="K272" s="1">
        <v>1.2050000000000001</v>
      </c>
      <c r="L272" s="1">
        <v>0.68600000000000005</v>
      </c>
      <c r="M272" s="1">
        <v>1.1579999999999999</v>
      </c>
      <c r="N272" s="1">
        <v>862</v>
      </c>
      <c r="O272" s="1">
        <v>136.6</v>
      </c>
      <c r="P272" s="1">
        <v>521.70000000000005</v>
      </c>
      <c r="Q272" s="1">
        <v>8.07</v>
      </c>
      <c r="R272" s="1">
        <v>110.8</v>
      </c>
      <c r="S272" s="1">
        <v>7.31</v>
      </c>
      <c r="T272" s="1">
        <v>15.92</v>
      </c>
      <c r="U272" s="1">
        <v>-75</v>
      </c>
    </row>
    <row r="273" spans="1:21">
      <c r="A273" s="1">
        <v>-70</v>
      </c>
      <c r="B273" s="1">
        <v>2.836E-2</v>
      </c>
      <c r="C273" s="108">
        <f t="shared" si="21"/>
        <v>4.1132776800000004</v>
      </c>
      <c r="D273" s="1">
        <v>1387.4</v>
      </c>
      <c r="E273" s="1">
        <f t="shared" si="22"/>
        <v>1.6945705958110215</v>
      </c>
      <c r="F273" s="1">
        <v>0.59011999999999998</v>
      </c>
      <c r="G273" s="1">
        <v>110.6</v>
      </c>
      <c r="H273" s="1">
        <v>321.92</v>
      </c>
      <c r="I273" s="1">
        <v>0.625</v>
      </c>
      <c r="J273" s="1">
        <v>1.6652</v>
      </c>
      <c r="K273" s="1">
        <v>1.208</v>
      </c>
      <c r="L273" s="1">
        <v>0.70099999999999996</v>
      </c>
      <c r="M273" s="1">
        <v>1.1579999999999999</v>
      </c>
      <c r="N273" s="1">
        <v>833</v>
      </c>
      <c r="O273" s="1">
        <v>137.80000000000001</v>
      </c>
      <c r="P273" s="1">
        <v>477.4</v>
      </c>
      <c r="Q273" s="1">
        <v>8.27</v>
      </c>
      <c r="R273" s="1">
        <v>108.2</v>
      </c>
      <c r="S273" s="1">
        <v>7.63</v>
      </c>
      <c r="T273" s="1">
        <v>15.4</v>
      </c>
      <c r="U273" s="1">
        <v>-70</v>
      </c>
    </row>
    <row r="274" spans="1:21">
      <c r="A274" s="1">
        <v>-65</v>
      </c>
      <c r="B274" s="1">
        <v>3.8370000000000001E-2</v>
      </c>
      <c r="C274" s="108">
        <f t="shared" si="21"/>
        <v>5.5651080600000009</v>
      </c>
      <c r="D274" s="1">
        <v>1372.5</v>
      </c>
      <c r="E274" s="1">
        <f t="shared" si="22"/>
        <v>2.2481003551998562</v>
      </c>
      <c r="F274" s="1">
        <v>0.44481999999999999</v>
      </c>
      <c r="G274" s="1">
        <v>116.66</v>
      </c>
      <c r="H274" s="1">
        <v>324.95999999999998</v>
      </c>
      <c r="I274" s="1">
        <v>0.65449999999999997</v>
      </c>
      <c r="J274" s="1">
        <v>1.6552</v>
      </c>
      <c r="K274" s="1">
        <v>1.2130000000000001</v>
      </c>
      <c r="L274" s="1">
        <v>0.71599999999999997</v>
      </c>
      <c r="M274" s="1">
        <v>1.159</v>
      </c>
      <c r="N274" s="1">
        <v>806</v>
      </c>
      <c r="O274" s="1">
        <v>138.9</v>
      </c>
      <c r="P274" s="1">
        <v>438.5</v>
      </c>
      <c r="Q274" s="1">
        <v>8.4600000000000009</v>
      </c>
      <c r="R274" s="1">
        <v>105.7</v>
      </c>
      <c r="S274" s="1">
        <v>7.96</v>
      </c>
      <c r="T274" s="1">
        <v>14.88</v>
      </c>
      <c r="U274" s="1">
        <v>-65</v>
      </c>
    </row>
    <row r="275" spans="1:21">
      <c r="A275" s="1">
        <v>-60</v>
      </c>
      <c r="B275" s="1">
        <v>5.1049999999999998E-2</v>
      </c>
      <c r="C275" s="108">
        <f t="shared" si="21"/>
        <v>7.4041899000000004</v>
      </c>
      <c r="D275" s="1">
        <v>1357.4</v>
      </c>
      <c r="E275" s="1">
        <f t="shared" si="22"/>
        <v>2.9363401456424714</v>
      </c>
      <c r="F275" s="1">
        <v>0.34055999999999997</v>
      </c>
      <c r="G275" s="1">
        <v>122.74</v>
      </c>
      <c r="H275" s="1">
        <v>328</v>
      </c>
      <c r="I275" s="1">
        <v>0.68330000000000002</v>
      </c>
      <c r="J275" s="1">
        <v>1.6463000000000001</v>
      </c>
      <c r="K275" s="1">
        <v>1.22</v>
      </c>
      <c r="L275" s="1">
        <v>0.73199999999999998</v>
      </c>
      <c r="M275" s="1">
        <v>1.1599999999999999</v>
      </c>
      <c r="N275" s="1">
        <v>779</v>
      </c>
      <c r="O275" s="1">
        <v>139.80000000000001</v>
      </c>
      <c r="P275" s="1">
        <v>404.3</v>
      </c>
      <c r="Q275" s="1">
        <v>8.65</v>
      </c>
      <c r="R275" s="1">
        <v>103.2</v>
      </c>
      <c r="S275" s="1">
        <v>8.3000000000000007</v>
      </c>
      <c r="T275" s="1">
        <v>14.34</v>
      </c>
      <c r="U275" s="1">
        <v>-60</v>
      </c>
    </row>
    <row r="276" spans="1:21">
      <c r="A276" s="1">
        <v>-55</v>
      </c>
      <c r="B276" s="1">
        <v>6.6879999999999995E-2</v>
      </c>
      <c r="C276" s="108">
        <f t="shared" si="21"/>
        <v>9.7001414399999994</v>
      </c>
      <c r="D276" s="1">
        <v>1342.3</v>
      </c>
      <c r="E276" s="1">
        <f t="shared" si="22"/>
        <v>3.7815761609438812</v>
      </c>
      <c r="F276" s="1">
        <v>0.26444000000000001</v>
      </c>
      <c r="G276" s="1">
        <v>128.87</v>
      </c>
      <c r="H276" s="1">
        <v>331.03</v>
      </c>
      <c r="I276" s="1">
        <v>0.71160000000000001</v>
      </c>
      <c r="J276" s="1">
        <v>1.6384000000000001</v>
      </c>
      <c r="K276" s="1">
        <v>1.2270000000000001</v>
      </c>
      <c r="L276" s="1">
        <v>0.749</v>
      </c>
      <c r="M276" s="1">
        <v>1.161</v>
      </c>
      <c r="N276" s="1">
        <v>754</v>
      </c>
      <c r="O276" s="1">
        <v>140.69999999999999</v>
      </c>
      <c r="P276" s="1">
        <v>373.8</v>
      </c>
      <c r="Q276" s="1">
        <v>8.84</v>
      </c>
      <c r="R276" s="1">
        <v>100.8</v>
      </c>
      <c r="S276" s="1">
        <v>8.65</v>
      </c>
      <c r="T276" s="1">
        <v>13.8</v>
      </c>
      <c r="U276" s="1">
        <v>-55</v>
      </c>
    </row>
    <row r="277" spans="1:21">
      <c r="A277" s="1">
        <v>-50</v>
      </c>
      <c r="B277" s="1">
        <v>8.6379999999999998E-2</v>
      </c>
      <c r="C277" s="108">
        <f t="shared" si="21"/>
        <v>12.528382440000001</v>
      </c>
      <c r="D277" s="1">
        <v>1326.9</v>
      </c>
      <c r="E277" s="1">
        <f t="shared" si="22"/>
        <v>4.8074611797509732</v>
      </c>
      <c r="F277" s="1">
        <v>0.20801</v>
      </c>
      <c r="G277" s="1">
        <v>135.03</v>
      </c>
      <c r="H277" s="1">
        <v>334.05</v>
      </c>
      <c r="I277" s="1">
        <v>0.73950000000000005</v>
      </c>
      <c r="J277" s="1">
        <v>1.6314</v>
      </c>
      <c r="K277" s="1">
        <v>1.2350000000000001</v>
      </c>
      <c r="L277" s="1">
        <v>0.76600000000000001</v>
      </c>
      <c r="M277" s="1">
        <v>1.1639999999999999</v>
      </c>
      <c r="N277" s="1">
        <v>729</v>
      </c>
      <c r="O277" s="1">
        <v>141.4</v>
      </c>
      <c r="P277" s="1">
        <v>346.5</v>
      </c>
      <c r="Q277" s="1">
        <v>9.02</v>
      </c>
      <c r="R277" s="1">
        <v>98.4</v>
      </c>
      <c r="S277" s="1">
        <v>9</v>
      </c>
      <c r="T277" s="1">
        <v>13.24</v>
      </c>
      <c r="U277" s="1">
        <v>-50</v>
      </c>
    </row>
    <row r="278" spans="1:21">
      <c r="A278" s="1">
        <v>-48</v>
      </c>
      <c r="B278" s="1">
        <v>9.5329999999999998E-2</v>
      </c>
      <c r="C278" s="108">
        <f t="shared" si="21"/>
        <v>13.826472540000001</v>
      </c>
      <c r="D278" s="1">
        <v>1320.7</v>
      </c>
      <c r="E278" s="1">
        <f t="shared" si="22"/>
        <v>5.2742616033755274</v>
      </c>
      <c r="F278" s="1">
        <v>0.18959999999999999</v>
      </c>
      <c r="G278" s="1">
        <v>137.51</v>
      </c>
      <c r="H278" s="1">
        <v>335.25</v>
      </c>
      <c r="I278" s="1">
        <v>0.75049999999999994</v>
      </c>
      <c r="J278" s="1">
        <v>1.6288</v>
      </c>
      <c r="K278" s="1">
        <v>1.2390000000000001</v>
      </c>
      <c r="L278" s="1">
        <v>0.77300000000000002</v>
      </c>
      <c r="M278" s="1">
        <v>1.165</v>
      </c>
      <c r="N278" s="1">
        <v>719</v>
      </c>
      <c r="O278" s="1">
        <v>141.6</v>
      </c>
      <c r="P278" s="1">
        <v>336.4</v>
      </c>
      <c r="Q278" s="1">
        <v>9.1</v>
      </c>
      <c r="R278" s="1">
        <v>97.4</v>
      </c>
      <c r="S278" s="1">
        <v>9.14</v>
      </c>
      <c r="T278" s="1">
        <v>13.02</v>
      </c>
      <c r="U278" s="1">
        <v>-48</v>
      </c>
    </row>
    <row r="279" spans="1:21">
      <c r="A279" s="1">
        <v>-46.74</v>
      </c>
      <c r="B279" s="1">
        <v>0.10131999999999999</v>
      </c>
      <c r="C279" s="108">
        <f t="shared" si="21"/>
        <v>14.695250160000001</v>
      </c>
      <c r="D279" s="1">
        <v>1316.8</v>
      </c>
      <c r="E279" s="1">
        <f t="shared" si="22"/>
        <v>5.5859680482627638</v>
      </c>
      <c r="F279" s="1">
        <v>0.17902000000000001</v>
      </c>
      <c r="G279" s="1">
        <v>139.07</v>
      </c>
      <c r="H279" s="1">
        <v>336.01</v>
      </c>
      <c r="I279" s="1">
        <v>0.75739999999999996</v>
      </c>
      <c r="J279" s="1">
        <v>1.6273</v>
      </c>
      <c r="K279" s="1">
        <v>1.2410000000000001</v>
      </c>
      <c r="L279" s="1">
        <v>0.77700000000000002</v>
      </c>
      <c r="M279" s="1">
        <v>1.1659999999999999</v>
      </c>
      <c r="N279" s="1">
        <v>713</v>
      </c>
      <c r="O279" s="1">
        <v>141.80000000000001</v>
      </c>
      <c r="P279" s="1">
        <v>330.2</v>
      </c>
      <c r="Q279" s="1">
        <v>9.15</v>
      </c>
      <c r="R279" s="1">
        <v>96.8</v>
      </c>
      <c r="S279" s="1">
        <v>9.23</v>
      </c>
      <c r="T279" s="1">
        <v>12.88</v>
      </c>
      <c r="U279" s="1" t="s">
        <v>595</v>
      </c>
    </row>
    <row r="280" spans="1:21">
      <c r="A280" s="1">
        <v>-46</v>
      </c>
      <c r="B280" s="1">
        <v>0.10499</v>
      </c>
      <c r="C280" s="108">
        <f t="shared" si="21"/>
        <v>15.227539620000002</v>
      </c>
      <c r="D280" s="1">
        <v>1314.5</v>
      </c>
      <c r="E280" s="1">
        <f t="shared" si="22"/>
        <v>5.7760064691272452</v>
      </c>
      <c r="F280" s="1">
        <v>0.17313000000000001</v>
      </c>
      <c r="G280" s="1">
        <v>139.99</v>
      </c>
      <c r="H280" s="1">
        <v>336.45</v>
      </c>
      <c r="I280" s="1">
        <v>0.76149999999999995</v>
      </c>
      <c r="J280" s="1">
        <v>1.6264000000000001</v>
      </c>
      <c r="K280" s="1">
        <v>1.2430000000000001</v>
      </c>
      <c r="L280" s="1">
        <v>0.78</v>
      </c>
      <c r="M280" s="1">
        <v>1.1659999999999999</v>
      </c>
      <c r="N280" s="1">
        <v>709</v>
      </c>
      <c r="O280" s="1">
        <v>141.9</v>
      </c>
      <c r="P280" s="1">
        <v>326.7</v>
      </c>
      <c r="Q280" s="1">
        <v>9.17</v>
      </c>
      <c r="R280" s="1">
        <v>96.5</v>
      </c>
      <c r="S280" s="1">
        <v>9.2799999999999994</v>
      </c>
      <c r="T280" s="1">
        <v>12.8</v>
      </c>
      <c r="U280" s="1">
        <v>-46</v>
      </c>
    </row>
    <row r="281" spans="1:21">
      <c r="A281" s="1">
        <v>-44</v>
      </c>
      <c r="B281" s="1">
        <v>0.11541</v>
      </c>
      <c r="C281" s="108">
        <f t="shared" si="21"/>
        <v>16.73883558</v>
      </c>
      <c r="D281" s="1">
        <v>1308.2</v>
      </c>
      <c r="E281" s="1">
        <f t="shared" si="22"/>
        <v>6.3147259408941654</v>
      </c>
      <c r="F281" s="1">
        <v>0.15836</v>
      </c>
      <c r="G281" s="1">
        <v>142.47999999999999</v>
      </c>
      <c r="H281" s="1">
        <v>337.65</v>
      </c>
      <c r="I281" s="1">
        <v>0.77239999999999998</v>
      </c>
      <c r="J281" s="1">
        <v>1.6241000000000001</v>
      </c>
      <c r="K281" s="1">
        <v>1.2470000000000001</v>
      </c>
      <c r="L281" s="1">
        <v>0.78700000000000003</v>
      </c>
      <c r="M281" s="1">
        <v>1.167</v>
      </c>
      <c r="N281" s="1">
        <v>699</v>
      </c>
      <c r="O281" s="1">
        <v>142.1</v>
      </c>
      <c r="P281" s="1">
        <v>317.39999999999998</v>
      </c>
      <c r="Q281" s="1">
        <v>9.25</v>
      </c>
      <c r="R281" s="1">
        <v>95.5</v>
      </c>
      <c r="S281" s="1">
        <v>9.42</v>
      </c>
      <c r="T281" s="1">
        <v>12.57</v>
      </c>
      <c r="U281" s="1">
        <v>-44</v>
      </c>
    </row>
    <row r="282" spans="1:21">
      <c r="A282" s="1">
        <v>-42</v>
      </c>
      <c r="B282" s="1">
        <v>0.12662000000000001</v>
      </c>
      <c r="C282" s="108">
        <f t="shared" si="21"/>
        <v>18.364711560000003</v>
      </c>
      <c r="D282" s="1">
        <v>1301.9000000000001</v>
      </c>
      <c r="E282" s="1">
        <f t="shared" si="22"/>
        <v>6.8917987594762229</v>
      </c>
      <c r="F282" s="1">
        <v>0.14510000000000001</v>
      </c>
      <c r="G282" s="1">
        <v>144.99</v>
      </c>
      <c r="H282" s="1">
        <v>338.84</v>
      </c>
      <c r="I282" s="1">
        <v>0.78320000000000001</v>
      </c>
      <c r="J282" s="1">
        <v>1.6218999999999999</v>
      </c>
      <c r="K282" s="1">
        <v>1.2509999999999999</v>
      </c>
      <c r="L282" s="1">
        <v>0.79500000000000004</v>
      </c>
      <c r="M282" s="1">
        <v>1.169</v>
      </c>
      <c r="N282" s="1">
        <v>690</v>
      </c>
      <c r="O282" s="1">
        <v>142.30000000000001</v>
      </c>
      <c r="P282" s="1">
        <v>308.39999999999998</v>
      </c>
      <c r="Q282" s="1">
        <v>9.32</v>
      </c>
      <c r="R282" s="1">
        <v>94.6</v>
      </c>
      <c r="S282" s="1">
        <v>9.57</v>
      </c>
      <c r="T282" s="1">
        <v>12.34</v>
      </c>
      <c r="U282" s="1">
        <v>-42</v>
      </c>
    </row>
    <row r="283" spans="1:21">
      <c r="A283" s="1">
        <v>-40</v>
      </c>
      <c r="B283" s="1">
        <v>0.13866999999999999</v>
      </c>
      <c r="C283" s="108">
        <f t="shared" si="21"/>
        <v>20.112419459999998</v>
      </c>
      <c r="D283" s="1">
        <v>1295.5999999999999</v>
      </c>
      <c r="E283" s="1">
        <f t="shared" si="22"/>
        <v>7.5091987684914017</v>
      </c>
      <c r="F283" s="1">
        <v>0.13317000000000001</v>
      </c>
      <c r="G283" s="1">
        <v>147.49</v>
      </c>
      <c r="H283" s="1">
        <v>340.03</v>
      </c>
      <c r="I283" s="1">
        <v>0.79400000000000004</v>
      </c>
      <c r="J283" s="1">
        <v>1.6197999999999999</v>
      </c>
      <c r="K283" s="1">
        <v>1.2549999999999999</v>
      </c>
      <c r="L283" s="1">
        <v>0.80300000000000005</v>
      </c>
      <c r="M283" s="1">
        <v>1.17</v>
      </c>
      <c r="N283" s="1">
        <v>680</v>
      </c>
      <c r="O283" s="1">
        <v>142.5</v>
      </c>
      <c r="P283" s="1">
        <v>299.8</v>
      </c>
      <c r="Q283" s="1">
        <v>9.4</v>
      </c>
      <c r="R283" s="1">
        <v>93.7</v>
      </c>
      <c r="S283" s="1">
        <v>9.7100000000000009</v>
      </c>
      <c r="T283" s="1">
        <v>12.12</v>
      </c>
      <c r="U283" s="1">
        <v>-40</v>
      </c>
    </row>
    <row r="284" spans="1:21">
      <c r="A284" s="1">
        <v>-38</v>
      </c>
      <c r="B284" s="1">
        <v>0.15159</v>
      </c>
      <c r="C284" s="108">
        <f t="shared" si="21"/>
        <v>21.986310420000002</v>
      </c>
      <c r="D284" s="1">
        <v>1289.2</v>
      </c>
      <c r="E284" s="1">
        <f t="shared" si="22"/>
        <v>8.169934640522877</v>
      </c>
      <c r="F284" s="1">
        <v>0.12239999999999999</v>
      </c>
      <c r="G284" s="1">
        <v>150.01</v>
      </c>
      <c r="H284" s="1">
        <v>341.21</v>
      </c>
      <c r="I284" s="1">
        <v>0.80469999999999997</v>
      </c>
      <c r="J284" s="1">
        <v>1.6177999999999999</v>
      </c>
      <c r="K284" s="1">
        <v>1.2589999999999999</v>
      </c>
      <c r="L284" s="1">
        <v>0.81</v>
      </c>
      <c r="M284" s="1">
        <v>1.1719999999999999</v>
      </c>
      <c r="N284" s="1">
        <v>670</v>
      </c>
      <c r="O284" s="1">
        <v>142.6</v>
      </c>
      <c r="P284" s="1">
        <v>291.39999999999998</v>
      </c>
      <c r="Q284" s="1">
        <v>9.4700000000000006</v>
      </c>
      <c r="R284" s="1">
        <v>92.7</v>
      </c>
      <c r="S284" s="1">
        <v>9.86</v>
      </c>
      <c r="T284" s="1">
        <v>11.89</v>
      </c>
      <c r="U284" s="1">
        <v>-38</v>
      </c>
    </row>
    <row r="285" spans="1:21">
      <c r="A285" s="1">
        <v>-36</v>
      </c>
      <c r="B285" s="1">
        <v>0.16542000000000001</v>
      </c>
      <c r="C285" s="108">
        <f t="shared" si="21"/>
        <v>23.992185960000004</v>
      </c>
      <c r="D285" s="1">
        <v>1282.8</v>
      </c>
      <c r="E285" s="1">
        <f t="shared" si="22"/>
        <v>8.8746893858714948</v>
      </c>
      <c r="F285" s="1">
        <v>0.11268</v>
      </c>
      <c r="G285" s="1">
        <v>152.54</v>
      </c>
      <c r="H285" s="1">
        <v>342.38</v>
      </c>
      <c r="I285" s="1">
        <v>0.81530000000000002</v>
      </c>
      <c r="J285" s="1">
        <v>1.6158999999999999</v>
      </c>
      <c r="K285" s="1">
        <v>1.264</v>
      </c>
      <c r="L285" s="1">
        <v>0.81799999999999995</v>
      </c>
      <c r="M285" s="1">
        <v>1.1739999999999999</v>
      </c>
      <c r="N285" s="1">
        <v>661</v>
      </c>
      <c r="O285" s="1">
        <v>142.69999999999999</v>
      </c>
      <c r="P285" s="1">
        <v>283.39999999999998</v>
      </c>
      <c r="Q285" s="1">
        <v>9.5500000000000007</v>
      </c>
      <c r="R285" s="1">
        <v>91.8</v>
      </c>
      <c r="S285" s="1">
        <v>10.01</v>
      </c>
      <c r="T285" s="1">
        <v>11.66</v>
      </c>
      <c r="U285" s="1">
        <v>-36</v>
      </c>
    </row>
    <row r="286" spans="1:21">
      <c r="A286" s="1">
        <v>-34</v>
      </c>
      <c r="B286" s="1">
        <v>0.18021999999999999</v>
      </c>
      <c r="C286" s="108">
        <f t="shared" si="21"/>
        <v>26.138748360000001</v>
      </c>
      <c r="D286" s="1">
        <v>1276.3</v>
      </c>
      <c r="E286" s="1">
        <f t="shared" si="22"/>
        <v>9.6264921062764728</v>
      </c>
      <c r="F286" s="1">
        <v>0.10388</v>
      </c>
      <c r="G286" s="1">
        <v>155.08000000000001</v>
      </c>
      <c r="H286" s="1">
        <v>343.55</v>
      </c>
      <c r="I286" s="1">
        <v>0.82599999999999996</v>
      </c>
      <c r="J286" s="1">
        <v>1.6141000000000001</v>
      </c>
      <c r="K286" s="1">
        <v>1.2689999999999999</v>
      </c>
      <c r="L286" s="1">
        <v>0.82599999999999996</v>
      </c>
      <c r="M286" s="1">
        <v>1.1759999999999999</v>
      </c>
      <c r="N286" s="1">
        <v>651</v>
      </c>
      <c r="O286" s="1">
        <v>142.80000000000001</v>
      </c>
      <c r="P286" s="1">
        <v>275.7</v>
      </c>
      <c r="Q286" s="1">
        <v>9.6199999999999992</v>
      </c>
      <c r="R286" s="1">
        <v>90.9</v>
      </c>
      <c r="S286" s="1">
        <v>10.16</v>
      </c>
      <c r="T286" s="1">
        <v>11.42</v>
      </c>
      <c r="U286" s="1">
        <v>-34</v>
      </c>
    </row>
    <row r="287" spans="1:21">
      <c r="A287" s="1">
        <v>-32</v>
      </c>
      <c r="B287" s="1">
        <v>0.19602</v>
      </c>
      <c r="C287" s="108">
        <f t="shared" si="21"/>
        <v>28.430348760000001</v>
      </c>
      <c r="D287" s="1">
        <v>1269.7</v>
      </c>
      <c r="E287" s="1">
        <f t="shared" si="22"/>
        <v>10.427528675703858</v>
      </c>
      <c r="F287" s="1">
        <v>9.5899999999999999E-2</v>
      </c>
      <c r="G287" s="1">
        <v>157.63</v>
      </c>
      <c r="H287" s="1">
        <v>344.72</v>
      </c>
      <c r="I287" s="1">
        <v>0.83650000000000002</v>
      </c>
      <c r="J287" s="1">
        <v>1.6123000000000001</v>
      </c>
      <c r="K287" s="1">
        <v>1.274</v>
      </c>
      <c r="L287" s="1">
        <v>0.83499999999999996</v>
      </c>
      <c r="M287" s="1">
        <v>1.1779999999999999</v>
      </c>
      <c r="N287" s="1">
        <v>642</v>
      </c>
      <c r="O287" s="1">
        <v>142.9</v>
      </c>
      <c r="P287" s="1">
        <v>268.3</v>
      </c>
      <c r="Q287" s="1">
        <v>9.6999999999999993</v>
      </c>
      <c r="R287" s="1">
        <v>90</v>
      </c>
      <c r="S287" s="1">
        <v>10.31</v>
      </c>
      <c r="T287" s="1">
        <v>11.19</v>
      </c>
      <c r="U287" s="1">
        <v>-32</v>
      </c>
    </row>
    <row r="288" spans="1:21">
      <c r="A288" s="1">
        <v>-30</v>
      </c>
      <c r="B288" s="1">
        <v>0.21287</v>
      </c>
      <c r="C288" s="108">
        <f t="shared" si="21"/>
        <v>30.874239060000004</v>
      </c>
      <c r="D288" s="1">
        <v>1263.2</v>
      </c>
      <c r="E288" s="1">
        <f t="shared" si="22"/>
        <v>11.280315848843767</v>
      </c>
      <c r="F288" s="1">
        <v>8.8650000000000007E-2</v>
      </c>
      <c r="G288" s="1">
        <v>160.18</v>
      </c>
      <c r="H288" s="1">
        <v>345.88</v>
      </c>
      <c r="I288" s="1">
        <v>0.84699999999999998</v>
      </c>
      <c r="J288" s="1">
        <v>1.6107</v>
      </c>
      <c r="K288" s="1">
        <v>1.2789999999999999</v>
      </c>
      <c r="L288" s="1">
        <v>0.84299999999999997</v>
      </c>
      <c r="M288" s="1">
        <v>1.18</v>
      </c>
      <c r="N288" s="1">
        <v>632</v>
      </c>
      <c r="O288" s="1">
        <v>142.9</v>
      </c>
      <c r="P288" s="1">
        <v>261.10000000000002</v>
      </c>
      <c r="Q288" s="1">
        <v>9.77</v>
      </c>
      <c r="R288" s="1">
        <v>89.1</v>
      </c>
      <c r="S288" s="1">
        <v>10.46</v>
      </c>
      <c r="T288" s="1">
        <v>10.96</v>
      </c>
      <c r="U288" s="1">
        <v>-30</v>
      </c>
    </row>
    <row r="289" spans="1:21">
      <c r="A289" s="1">
        <v>-28</v>
      </c>
      <c r="B289" s="1">
        <v>0.23080999999999999</v>
      </c>
      <c r="C289" s="108">
        <f t="shared" si="21"/>
        <v>33.476220779999998</v>
      </c>
      <c r="D289" s="1">
        <v>1256.5</v>
      </c>
      <c r="E289" s="1">
        <f t="shared" si="22"/>
        <v>12.187690432663011</v>
      </c>
      <c r="F289" s="1">
        <v>8.2049999999999998E-2</v>
      </c>
      <c r="G289" s="1">
        <v>162.75</v>
      </c>
      <c r="H289" s="1">
        <v>347.03</v>
      </c>
      <c r="I289" s="1">
        <v>0.85750000000000004</v>
      </c>
      <c r="J289" s="1">
        <v>1.6092</v>
      </c>
      <c r="K289" s="1">
        <v>1.284</v>
      </c>
      <c r="L289" s="1">
        <v>0.85199999999999998</v>
      </c>
      <c r="M289" s="1">
        <v>1.1830000000000001</v>
      </c>
      <c r="N289" s="1">
        <v>622</v>
      </c>
      <c r="O289" s="1">
        <v>143</v>
      </c>
      <c r="P289" s="1">
        <v>254.1</v>
      </c>
      <c r="Q289" s="1">
        <v>9.85</v>
      </c>
      <c r="R289" s="1">
        <v>88.2</v>
      </c>
      <c r="S289" s="1">
        <v>10.61</v>
      </c>
      <c r="T289" s="1">
        <v>10.72</v>
      </c>
      <c r="U289" s="1">
        <v>-28</v>
      </c>
    </row>
    <row r="290" spans="1:21">
      <c r="A290" s="1">
        <v>-26</v>
      </c>
      <c r="B290" s="1">
        <v>0.24989</v>
      </c>
      <c r="C290" s="108">
        <f t="shared" si="21"/>
        <v>36.243545820000001</v>
      </c>
      <c r="D290" s="1">
        <v>1249.8</v>
      </c>
      <c r="E290" s="1">
        <f t="shared" si="22"/>
        <v>13.15097317201473</v>
      </c>
      <c r="F290" s="1">
        <v>7.6039999999999996E-2</v>
      </c>
      <c r="G290" s="1">
        <v>165.33</v>
      </c>
      <c r="H290" s="1">
        <v>348.17</v>
      </c>
      <c r="I290" s="1">
        <v>0.8679</v>
      </c>
      <c r="J290" s="1">
        <v>1.6076999999999999</v>
      </c>
      <c r="K290" s="1">
        <v>1.2889999999999999</v>
      </c>
      <c r="L290" s="1">
        <v>0.86099999999999999</v>
      </c>
      <c r="M290" s="1">
        <v>1.1859999999999999</v>
      </c>
      <c r="N290" s="1">
        <v>613</v>
      </c>
      <c r="O290" s="1">
        <v>143</v>
      </c>
      <c r="P290" s="1">
        <v>247.4</v>
      </c>
      <c r="Q290" s="1">
        <v>9.93</v>
      </c>
      <c r="R290" s="1">
        <v>87.3</v>
      </c>
      <c r="S290" s="1">
        <v>10.77</v>
      </c>
      <c r="T290" s="1">
        <v>10.49</v>
      </c>
      <c r="U290" s="1">
        <v>-26</v>
      </c>
    </row>
    <row r="291" spans="1:21">
      <c r="A291" s="1">
        <v>-24</v>
      </c>
      <c r="B291" s="1">
        <v>0.27016000000000001</v>
      </c>
      <c r="C291" s="108">
        <f t="shared" si="21"/>
        <v>39.183466080000002</v>
      </c>
      <c r="D291" s="1">
        <v>1243.0999999999999</v>
      </c>
      <c r="E291" s="1">
        <f t="shared" si="22"/>
        <v>14.174344436569807</v>
      </c>
      <c r="F291" s="1">
        <v>7.0550000000000002E-2</v>
      </c>
      <c r="G291" s="1">
        <v>167.92</v>
      </c>
      <c r="H291" s="1">
        <v>349.3</v>
      </c>
      <c r="I291" s="1">
        <v>0.87829999999999997</v>
      </c>
      <c r="J291" s="1">
        <v>1.6063000000000001</v>
      </c>
      <c r="K291" s="1">
        <v>1.2949999999999999</v>
      </c>
      <c r="L291" s="1">
        <v>0.87</v>
      </c>
      <c r="M291" s="1">
        <v>1.1879999999999999</v>
      </c>
      <c r="N291" s="1">
        <v>603</v>
      </c>
      <c r="O291" s="1">
        <v>142.9</v>
      </c>
      <c r="P291" s="1">
        <v>240.9</v>
      </c>
      <c r="Q291" s="1">
        <v>10</v>
      </c>
      <c r="R291" s="1">
        <v>86.5</v>
      </c>
      <c r="S291" s="1">
        <v>10.93</v>
      </c>
      <c r="T291" s="1">
        <v>10.25</v>
      </c>
      <c r="U291" s="1">
        <v>-24</v>
      </c>
    </row>
    <row r="292" spans="1:21">
      <c r="A292" s="1">
        <v>-22</v>
      </c>
      <c r="B292" s="1">
        <v>0.29166999999999998</v>
      </c>
      <c r="C292" s="108">
        <f t="shared" si="21"/>
        <v>42.303233460000001</v>
      </c>
      <c r="D292" s="1">
        <v>1236.3</v>
      </c>
      <c r="E292" s="1">
        <f t="shared" si="22"/>
        <v>15.260186174271325</v>
      </c>
      <c r="F292" s="1">
        <v>6.5530000000000005E-2</v>
      </c>
      <c r="G292" s="1">
        <v>170.52</v>
      </c>
      <c r="H292" s="1">
        <v>350.43</v>
      </c>
      <c r="I292" s="1">
        <v>0.88859999999999995</v>
      </c>
      <c r="J292" s="1">
        <v>1.6049</v>
      </c>
      <c r="K292" s="1">
        <v>1.3009999999999999</v>
      </c>
      <c r="L292" s="1">
        <v>0.879</v>
      </c>
      <c r="M292" s="1">
        <v>1.1910000000000001</v>
      </c>
      <c r="N292" s="1">
        <v>594</v>
      </c>
      <c r="O292" s="1">
        <v>142.9</v>
      </c>
      <c r="P292" s="1">
        <v>234.5</v>
      </c>
      <c r="Q292" s="1">
        <v>10.08</v>
      </c>
      <c r="R292" s="1">
        <v>85.6</v>
      </c>
      <c r="S292" s="1">
        <v>11.08</v>
      </c>
      <c r="T292" s="1">
        <v>10.02</v>
      </c>
      <c r="U292" s="1">
        <v>-22</v>
      </c>
    </row>
    <row r="293" spans="1:21">
      <c r="A293" s="1">
        <v>-20</v>
      </c>
      <c r="B293" s="1">
        <v>0.31446000000000002</v>
      </c>
      <c r="C293" s="108">
        <f t="shared" si="21"/>
        <v>45.608649480000004</v>
      </c>
      <c r="D293" s="1">
        <v>1229.4000000000001</v>
      </c>
      <c r="E293" s="1">
        <f t="shared" si="22"/>
        <v>16.409583196586805</v>
      </c>
      <c r="F293" s="1">
        <v>6.0940000000000001E-2</v>
      </c>
      <c r="G293" s="1">
        <v>173.13</v>
      </c>
      <c r="H293" s="1">
        <v>351.54</v>
      </c>
      <c r="I293" s="1">
        <v>0.89890000000000003</v>
      </c>
      <c r="J293" s="1">
        <v>1.6036999999999999</v>
      </c>
      <c r="K293" s="1">
        <v>1.3069999999999999</v>
      </c>
      <c r="L293" s="1">
        <v>0.88800000000000001</v>
      </c>
      <c r="M293" s="1">
        <v>1.1950000000000001</v>
      </c>
      <c r="N293" s="1">
        <v>584</v>
      </c>
      <c r="O293" s="1">
        <v>142.80000000000001</v>
      </c>
      <c r="P293" s="1">
        <v>228.4</v>
      </c>
      <c r="Q293" s="1">
        <v>10.15</v>
      </c>
      <c r="R293" s="1">
        <v>84.7</v>
      </c>
      <c r="S293" s="1">
        <v>11.24</v>
      </c>
      <c r="T293" s="1">
        <v>9.7799999999999994</v>
      </c>
      <c r="U293" s="1">
        <v>-20</v>
      </c>
    </row>
    <row r="294" spans="1:21">
      <c r="A294" s="1">
        <v>-18</v>
      </c>
      <c r="B294" s="1">
        <v>0.33857999999999999</v>
      </c>
      <c r="C294" s="108">
        <f t="shared" si="21"/>
        <v>49.106966040000003</v>
      </c>
      <c r="D294" s="1">
        <v>1222.5</v>
      </c>
      <c r="E294" s="1">
        <f t="shared" si="22"/>
        <v>17.627357659086901</v>
      </c>
      <c r="F294" s="1">
        <v>5.6730000000000003E-2</v>
      </c>
      <c r="G294" s="1">
        <v>175.76</v>
      </c>
      <c r="H294" s="1">
        <v>352.65</v>
      </c>
      <c r="I294" s="1">
        <v>0.90910000000000002</v>
      </c>
      <c r="J294" s="1">
        <v>1.6024</v>
      </c>
      <c r="K294" s="1">
        <v>1.3129999999999999</v>
      </c>
      <c r="L294" s="1">
        <v>0.89800000000000002</v>
      </c>
      <c r="M294" s="1">
        <v>1.198</v>
      </c>
      <c r="N294" s="1">
        <v>575</v>
      </c>
      <c r="O294" s="1">
        <v>142.69999999999999</v>
      </c>
      <c r="P294" s="1">
        <v>222.5</v>
      </c>
      <c r="Q294" s="1">
        <v>10.23</v>
      </c>
      <c r="R294" s="1">
        <v>83.8</v>
      </c>
      <c r="S294" s="1">
        <v>11.4</v>
      </c>
      <c r="T294" s="1">
        <v>9.5399999999999991</v>
      </c>
      <c r="U294" s="1">
        <v>-18</v>
      </c>
    </row>
    <row r="295" spans="1:21">
      <c r="A295" s="1">
        <v>-16</v>
      </c>
      <c r="B295" s="1">
        <v>0.36408000000000001</v>
      </c>
      <c r="C295" s="108">
        <f t="shared" si="21"/>
        <v>52.805435040000006</v>
      </c>
      <c r="D295" s="1">
        <v>1215.4000000000001</v>
      </c>
      <c r="E295" s="1">
        <f t="shared" si="22"/>
        <v>18.917896329928112</v>
      </c>
      <c r="F295" s="1">
        <v>5.2859999999999997E-2</v>
      </c>
      <c r="G295" s="1">
        <v>178.39</v>
      </c>
      <c r="H295" s="1">
        <v>353.75</v>
      </c>
      <c r="I295" s="1">
        <v>0.91930000000000001</v>
      </c>
      <c r="J295" s="1">
        <v>1.6012999999999999</v>
      </c>
      <c r="K295" s="1">
        <v>1.319</v>
      </c>
      <c r="L295" s="1">
        <v>0.90800000000000003</v>
      </c>
      <c r="M295" s="1">
        <v>1.202</v>
      </c>
      <c r="N295" s="1">
        <v>566</v>
      </c>
      <c r="O295" s="1">
        <v>142.5</v>
      </c>
      <c r="P295" s="1">
        <v>216.8</v>
      </c>
      <c r="Q295" s="1">
        <v>10.31</v>
      </c>
      <c r="R295" s="1">
        <v>83</v>
      </c>
      <c r="S295" s="1">
        <v>11.56</v>
      </c>
      <c r="T295" s="1">
        <v>9.3000000000000007</v>
      </c>
      <c r="U295" s="1">
        <v>-16</v>
      </c>
    </row>
    <row r="296" spans="1:21">
      <c r="A296" s="1">
        <v>-14</v>
      </c>
      <c r="B296" s="1">
        <v>0.39101999999999998</v>
      </c>
      <c r="C296" s="108">
        <f t="shared" si="21"/>
        <v>56.71275876</v>
      </c>
      <c r="D296" s="1">
        <v>1208.4000000000001</v>
      </c>
      <c r="E296" s="1">
        <f t="shared" si="22"/>
        <v>20.279862096937741</v>
      </c>
      <c r="F296" s="1">
        <v>4.931E-2</v>
      </c>
      <c r="G296" s="1">
        <v>181.04</v>
      </c>
      <c r="H296" s="1">
        <v>354.83</v>
      </c>
      <c r="I296" s="1">
        <v>0.92949999999999999</v>
      </c>
      <c r="J296" s="1">
        <v>1.6001000000000001</v>
      </c>
      <c r="K296" s="1">
        <v>1.3260000000000001</v>
      </c>
      <c r="L296" s="1">
        <v>0.91800000000000004</v>
      </c>
      <c r="M296" s="1">
        <v>1.206</v>
      </c>
      <c r="N296" s="1">
        <v>556</v>
      </c>
      <c r="O296" s="1">
        <v>142.30000000000001</v>
      </c>
      <c r="P296" s="1">
        <v>211.2</v>
      </c>
      <c r="Q296" s="1">
        <v>10.39</v>
      </c>
      <c r="R296" s="1">
        <v>82.1</v>
      </c>
      <c r="S296" s="1">
        <v>11.73</v>
      </c>
      <c r="T296" s="1">
        <v>9.06</v>
      </c>
      <c r="U296" s="1">
        <v>-14</v>
      </c>
    </row>
    <row r="297" spans="1:21">
      <c r="A297" s="1">
        <v>-12</v>
      </c>
      <c r="B297" s="1">
        <v>0.41944999999999999</v>
      </c>
      <c r="C297" s="108">
        <f t="shared" si="21"/>
        <v>60.836189100000006</v>
      </c>
      <c r="D297" s="1">
        <v>1201.2</v>
      </c>
      <c r="E297" s="1">
        <f t="shared" si="22"/>
        <v>21.724961981316532</v>
      </c>
      <c r="F297" s="1">
        <v>4.6030000000000001E-2</v>
      </c>
      <c r="G297" s="1">
        <v>183.71</v>
      </c>
      <c r="H297" s="1">
        <v>355.91</v>
      </c>
      <c r="I297" s="1">
        <v>0.93969999999999998</v>
      </c>
      <c r="J297" s="1">
        <v>1.5991</v>
      </c>
      <c r="K297" s="1">
        <v>1.333</v>
      </c>
      <c r="L297" s="1">
        <v>0.92900000000000005</v>
      </c>
      <c r="M297" s="1">
        <v>1.21</v>
      </c>
      <c r="N297" s="1">
        <v>547</v>
      </c>
      <c r="O297" s="1">
        <v>142.1</v>
      </c>
      <c r="P297" s="1">
        <v>205.7</v>
      </c>
      <c r="Q297" s="1">
        <v>10.47</v>
      </c>
      <c r="R297" s="1">
        <v>81.2</v>
      </c>
      <c r="S297" s="1">
        <v>11.89</v>
      </c>
      <c r="T297" s="1">
        <v>8.82</v>
      </c>
      <c r="U297" s="1">
        <v>-12</v>
      </c>
    </row>
    <row r="298" spans="1:21">
      <c r="A298" s="1">
        <v>-10</v>
      </c>
      <c r="B298" s="1">
        <v>0.44940999999999998</v>
      </c>
      <c r="C298" s="108">
        <f t="shared" si="21"/>
        <v>65.181527580000008</v>
      </c>
      <c r="D298" s="1">
        <v>1193.9000000000001</v>
      </c>
      <c r="E298" s="1">
        <f t="shared" si="22"/>
        <v>23.250406882120437</v>
      </c>
      <c r="F298" s="1">
        <v>4.301E-2</v>
      </c>
      <c r="G298" s="1">
        <v>186.39</v>
      </c>
      <c r="H298" s="1">
        <v>356.97</v>
      </c>
      <c r="I298" s="1">
        <v>0.94979999999999998</v>
      </c>
      <c r="J298" s="1">
        <v>1.5980000000000001</v>
      </c>
      <c r="K298" s="1">
        <v>1.34</v>
      </c>
      <c r="L298" s="1">
        <v>0.94</v>
      </c>
      <c r="M298" s="1">
        <v>1.214</v>
      </c>
      <c r="N298" s="1">
        <v>537</v>
      </c>
      <c r="O298" s="1">
        <v>141.9</v>
      </c>
      <c r="P298" s="1">
        <v>200.5</v>
      </c>
      <c r="Q298" s="1">
        <v>10.55</v>
      </c>
      <c r="R298" s="1">
        <v>80.400000000000006</v>
      </c>
      <c r="S298" s="1">
        <v>12.06</v>
      </c>
      <c r="T298" s="1">
        <v>8.58</v>
      </c>
      <c r="U298" s="1">
        <v>-10</v>
      </c>
    </row>
    <row r="299" spans="1:21">
      <c r="A299" s="1">
        <v>-8</v>
      </c>
      <c r="B299" s="1">
        <v>0.48096</v>
      </c>
      <c r="C299" s="108">
        <f t="shared" si="21"/>
        <v>69.757476480000008</v>
      </c>
      <c r="D299" s="1">
        <v>1186.5999999999999</v>
      </c>
      <c r="E299" s="1">
        <f t="shared" si="22"/>
        <v>24.857071836937607</v>
      </c>
      <c r="F299" s="1">
        <v>4.0230000000000002E-2</v>
      </c>
      <c r="G299" s="1">
        <v>189.08</v>
      </c>
      <c r="H299" s="1">
        <v>358.02</v>
      </c>
      <c r="I299" s="1">
        <v>0.95989999999999998</v>
      </c>
      <c r="J299" s="1">
        <v>1.5971</v>
      </c>
      <c r="K299" s="1">
        <v>1.3480000000000001</v>
      </c>
      <c r="L299" s="1">
        <v>0.95099999999999996</v>
      </c>
      <c r="M299" s="1">
        <v>1.2190000000000001</v>
      </c>
      <c r="N299" s="1">
        <v>528</v>
      </c>
      <c r="O299" s="1">
        <v>141.6</v>
      </c>
      <c r="P299" s="1">
        <v>195.3</v>
      </c>
      <c r="Q299" s="1">
        <v>10.63</v>
      </c>
      <c r="R299" s="1">
        <v>79.5</v>
      </c>
      <c r="S299" s="1">
        <v>12.23</v>
      </c>
      <c r="T299" s="1">
        <v>8.34</v>
      </c>
      <c r="U299" s="1">
        <v>-8</v>
      </c>
    </row>
    <row r="300" spans="1:21">
      <c r="A300" s="1">
        <v>-6</v>
      </c>
      <c r="B300" s="1">
        <v>0.51415999999999995</v>
      </c>
      <c r="C300" s="108">
        <f t="shared" si="21"/>
        <v>74.572738079999993</v>
      </c>
      <c r="D300" s="1">
        <v>1179.2</v>
      </c>
      <c r="E300" s="1">
        <f t="shared" si="22"/>
        <v>26.560424966799467</v>
      </c>
      <c r="F300" s="1">
        <v>3.7650000000000003E-2</v>
      </c>
      <c r="G300" s="1">
        <v>191.78</v>
      </c>
      <c r="H300" s="1">
        <v>359.06</v>
      </c>
      <c r="I300" s="1">
        <v>0.96989999999999998</v>
      </c>
      <c r="J300" s="1">
        <v>1.5961000000000001</v>
      </c>
      <c r="K300" s="1">
        <v>1.355</v>
      </c>
      <c r="L300" s="1">
        <v>0.96199999999999997</v>
      </c>
      <c r="M300" s="1">
        <v>1.224</v>
      </c>
      <c r="N300" s="1">
        <v>518</v>
      </c>
      <c r="O300" s="1">
        <v>141.30000000000001</v>
      </c>
      <c r="P300" s="1">
        <v>190.3</v>
      </c>
      <c r="Q300" s="1">
        <v>10.71</v>
      </c>
      <c r="R300" s="1">
        <v>78.7</v>
      </c>
      <c r="S300" s="1">
        <v>12.41</v>
      </c>
      <c r="T300" s="1">
        <v>8.1</v>
      </c>
      <c r="U300" s="1">
        <v>-6</v>
      </c>
    </row>
    <row r="301" spans="1:21">
      <c r="A301" s="1">
        <v>-4</v>
      </c>
      <c r="B301" s="1">
        <v>0.54905999999999999</v>
      </c>
      <c r="C301" s="108">
        <f t="shared" si="21"/>
        <v>79.634564280000006</v>
      </c>
      <c r="D301" s="1">
        <v>1171.7</v>
      </c>
      <c r="E301" s="1">
        <f t="shared" si="22"/>
        <v>28.35270768358378</v>
      </c>
      <c r="F301" s="1">
        <v>3.5270000000000003E-2</v>
      </c>
      <c r="G301" s="1">
        <v>194.51</v>
      </c>
      <c r="H301" s="1">
        <v>360.08</v>
      </c>
      <c r="I301" s="1">
        <v>0.98</v>
      </c>
      <c r="J301" s="1">
        <v>1.5952</v>
      </c>
      <c r="K301" s="1">
        <v>1.363</v>
      </c>
      <c r="L301" s="1">
        <v>0.97399999999999998</v>
      </c>
      <c r="M301" s="1">
        <v>1.23</v>
      </c>
      <c r="N301" s="1">
        <v>508</v>
      </c>
      <c r="O301" s="1">
        <v>141</v>
      </c>
      <c r="P301" s="1">
        <v>185.5</v>
      </c>
      <c r="Q301" s="1">
        <v>10.79</v>
      </c>
      <c r="R301" s="1">
        <v>77.8</v>
      </c>
      <c r="S301" s="1">
        <v>12.58</v>
      </c>
      <c r="T301" s="1">
        <v>7.86</v>
      </c>
      <c r="U301" s="1">
        <v>-4</v>
      </c>
    </row>
    <row r="302" spans="1:21">
      <c r="A302" s="1">
        <v>-2</v>
      </c>
      <c r="B302" s="1">
        <v>0.58570999999999995</v>
      </c>
      <c r="C302" s="108">
        <f t="shared" si="21"/>
        <v>84.950206980000004</v>
      </c>
      <c r="D302" s="1">
        <v>1164</v>
      </c>
      <c r="E302" s="1">
        <f t="shared" si="22"/>
        <v>30.248033877797944</v>
      </c>
      <c r="F302" s="1">
        <v>3.3059999999999999E-2</v>
      </c>
      <c r="G302" s="1">
        <v>197.25</v>
      </c>
      <c r="H302" s="1">
        <v>361.08</v>
      </c>
      <c r="I302" s="1">
        <v>0.99</v>
      </c>
      <c r="J302" s="1">
        <v>1.5943000000000001</v>
      </c>
      <c r="K302" s="1">
        <v>1.3720000000000001</v>
      </c>
      <c r="L302" s="1">
        <v>0.98699999999999999</v>
      </c>
      <c r="M302" s="1">
        <v>1.236</v>
      </c>
      <c r="N302" s="1">
        <v>499</v>
      </c>
      <c r="O302" s="1">
        <v>140.6</v>
      </c>
      <c r="P302" s="1">
        <v>180.7</v>
      </c>
      <c r="Q302" s="1">
        <v>10.88</v>
      </c>
      <c r="R302" s="1">
        <v>77</v>
      </c>
      <c r="S302" s="1">
        <v>12.76</v>
      </c>
      <c r="T302" s="1">
        <v>7.62</v>
      </c>
      <c r="U302" s="1">
        <v>-2</v>
      </c>
    </row>
    <row r="303" spans="1:21">
      <c r="A303" s="1">
        <v>0</v>
      </c>
      <c r="B303" s="1">
        <v>0.62417</v>
      </c>
      <c r="C303" s="108">
        <f t="shared" si="21"/>
        <v>90.52836846000001</v>
      </c>
      <c r="D303" s="1">
        <v>1156.3</v>
      </c>
      <c r="E303" s="1">
        <f t="shared" si="22"/>
        <v>32.247662044501773</v>
      </c>
      <c r="F303" s="1">
        <v>3.1009999999999999E-2</v>
      </c>
      <c r="G303" s="1">
        <v>200</v>
      </c>
      <c r="H303" s="1">
        <v>362.07</v>
      </c>
      <c r="I303" s="1">
        <v>1</v>
      </c>
      <c r="J303" s="1">
        <v>1.5933999999999999</v>
      </c>
      <c r="K303" s="1">
        <v>1.381</v>
      </c>
      <c r="L303" s="1">
        <v>0.999</v>
      </c>
      <c r="M303" s="1">
        <v>1.242</v>
      </c>
      <c r="N303" s="1">
        <v>489</v>
      </c>
      <c r="O303" s="1">
        <v>140.19999999999999</v>
      </c>
      <c r="P303" s="1">
        <v>176.1</v>
      </c>
      <c r="Q303" s="1">
        <v>10.97</v>
      </c>
      <c r="R303" s="1">
        <v>76.2</v>
      </c>
      <c r="S303" s="1">
        <v>12.96</v>
      </c>
      <c r="T303" s="1">
        <v>7.37</v>
      </c>
      <c r="U303" s="1">
        <v>0</v>
      </c>
    </row>
    <row r="304" spans="1:21">
      <c r="A304" s="1">
        <v>2</v>
      </c>
      <c r="B304" s="1">
        <v>0.66449999999999998</v>
      </c>
      <c r="C304" s="108">
        <f t="shared" si="21"/>
        <v>96.377751000000004</v>
      </c>
      <c r="D304" s="1">
        <v>1148.5</v>
      </c>
      <c r="E304" s="1">
        <f t="shared" si="22"/>
        <v>34.364261168384878</v>
      </c>
      <c r="F304" s="1">
        <v>2.9100000000000001E-2</v>
      </c>
      <c r="G304" s="1">
        <v>202.77</v>
      </c>
      <c r="H304" s="1">
        <v>363.05</v>
      </c>
      <c r="I304" s="1">
        <v>1.01</v>
      </c>
      <c r="J304" s="1">
        <v>1.5925</v>
      </c>
      <c r="K304" s="1">
        <v>1.39</v>
      </c>
      <c r="L304" s="1">
        <v>1.012</v>
      </c>
      <c r="M304" s="1">
        <v>1.2490000000000001</v>
      </c>
      <c r="N304" s="1">
        <v>480</v>
      </c>
      <c r="O304" s="1">
        <v>139.80000000000001</v>
      </c>
      <c r="P304" s="1">
        <v>171.6</v>
      </c>
      <c r="Q304" s="1">
        <v>11.05</v>
      </c>
      <c r="R304" s="1">
        <v>75.3</v>
      </c>
      <c r="S304" s="1">
        <v>13.16</v>
      </c>
      <c r="T304" s="1">
        <v>7.13</v>
      </c>
      <c r="U304" s="1">
        <v>2</v>
      </c>
    </row>
    <row r="305" spans="1:21">
      <c r="A305" s="1">
        <v>4</v>
      </c>
      <c r="B305" s="1">
        <v>0.70676000000000005</v>
      </c>
      <c r="C305" s="108">
        <f t="shared" si="21"/>
        <v>102.50705688000002</v>
      </c>
      <c r="D305" s="1">
        <v>1140.5</v>
      </c>
      <c r="E305" s="1">
        <f t="shared" si="22"/>
        <v>36.589828027808267</v>
      </c>
      <c r="F305" s="1">
        <v>2.733E-2</v>
      </c>
      <c r="G305" s="1">
        <v>205.56</v>
      </c>
      <c r="H305" s="1">
        <v>364</v>
      </c>
      <c r="I305" s="1">
        <v>1.0199</v>
      </c>
      <c r="J305" s="1">
        <v>1.5916999999999999</v>
      </c>
      <c r="K305" s="1">
        <v>1.399</v>
      </c>
      <c r="L305" s="1">
        <v>1.026</v>
      </c>
      <c r="M305" s="1">
        <v>1.256</v>
      </c>
      <c r="N305" s="1">
        <v>470</v>
      </c>
      <c r="O305" s="1">
        <v>139.30000000000001</v>
      </c>
      <c r="P305" s="1">
        <v>167.2</v>
      </c>
      <c r="Q305" s="1">
        <v>11.14</v>
      </c>
      <c r="R305" s="1">
        <v>74.5</v>
      </c>
      <c r="S305" s="1">
        <v>13.36</v>
      </c>
      <c r="T305" s="1">
        <v>6.89</v>
      </c>
      <c r="U305" s="1">
        <v>4</v>
      </c>
    </row>
    <row r="306" spans="1:21">
      <c r="A306" s="1">
        <v>6</v>
      </c>
      <c r="B306" s="1">
        <v>0.75099000000000005</v>
      </c>
      <c r="C306" s="108">
        <f t="shared" si="21"/>
        <v>108.92208762000001</v>
      </c>
      <c r="D306" s="1">
        <v>1132.4000000000001</v>
      </c>
      <c r="E306" s="1">
        <f t="shared" si="22"/>
        <v>38.940809968847347</v>
      </c>
      <c r="F306" s="1">
        <v>2.5680000000000001E-2</v>
      </c>
      <c r="G306" s="1">
        <v>208.37</v>
      </c>
      <c r="H306" s="1">
        <v>364.94</v>
      </c>
      <c r="I306" s="1">
        <v>1.0299</v>
      </c>
      <c r="J306" s="1">
        <v>1.5908</v>
      </c>
      <c r="K306" s="1">
        <v>1.41</v>
      </c>
      <c r="L306" s="1">
        <v>1.04</v>
      </c>
      <c r="M306" s="1">
        <v>1.264</v>
      </c>
      <c r="N306" s="1">
        <v>460</v>
      </c>
      <c r="O306" s="1">
        <v>138.80000000000001</v>
      </c>
      <c r="P306" s="1">
        <v>162.9</v>
      </c>
      <c r="Q306" s="1">
        <v>11.23</v>
      </c>
      <c r="R306" s="1">
        <v>73.7</v>
      </c>
      <c r="S306" s="1">
        <v>13.57</v>
      </c>
      <c r="T306" s="1">
        <v>6.65</v>
      </c>
      <c r="U306" s="1">
        <v>6</v>
      </c>
    </row>
    <row r="307" spans="1:21">
      <c r="A307" s="1">
        <v>8</v>
      </c>
      <c r="B307" s="1">
        <v>0.79727999999999999</v>
      </c>
      <c r="C307" s="108">
        <f t="shared" si="21"/>
        <v>115.63589664000001</v>
      </c>
      <c r="D307" s="1">
        <v>1124.2</v>
      </c>
      <c r="E307" s="1">
        <f t="shared" si="22"/>
        <v>41.407867494824018</v>
      </c>
      <c r="F307" s="1">
        <v>2.4150000000000001E-2</v>
      </c>
      <c r="G307" s="1">
        <v>211.2</v>
      </c>
      <c r="H307" s="1">
        <v>365.85</v>
      </c>
      <c r="I307" s="1">
        <v>1.0398000000000001</v>
      </c>
      <c r="J307" s="1">
        <v>1.59</v>
      </c>
      <c r="K307" s="1">
        <v>1.42</v>
      </c>
      <c r="L307" s="1">
        <v>1.0549999999999999</v>
      </c>
      <c r="M307" s="1">
        <v>1.272</v>
      </c>
      <c r="N307" s="1">
        <v>451</v>
      </c>
      <c r="O307" s="1">
        <v>138.19999999999999</v>
      </c>
      <c r="P307" s="1">
        <v>158.69999999999999</v>
      </c>
      <c r="Q307" s="1">
        <v>11.33</v>
      </c>
      <c r="R307" s="1">
        <v>72.8</v>
      </c>
      <c r="S307" s="1">
        <v>13.79</v>
      </c>
      <c r="T307" s="1">
        <v>6.41</v>
      </c>
      <c r="U307" s="1">
        <v>8</v>
      </c>
    </row>
    <row r="308" spans="1:21">
      <c r="A308" s="1">
        <v>10</v>
      </c>
      <c r="B308" s="1">
        <v>0.84565999999999997</v>
      </c>
      <c r="C308" s="108">
        <f t="shared" si="21"/>
        <v>122.65283508</v>
      </c>
      <c r="D308" s="1">
        <v>1115.9000000000001</v>
      </c>
      <c r="E308" s="1">
        <f t="shared" si="22"/>
        <v>44.033465433729631</v>
      </c>
      <c r="F308" s="1">
        <v>2.2710000000000001E-2</v>
      </c>
      <c r="G308" s="1">
        <v>214.04</v>
      </c>
      <c r="H308" s="1">
        <v>366.75</v>
      </c>
      <c r="I308" s="1">
        <v>1.0498000000000001</v>
      </c>
      <c r="J308" s="1">
        <v>1.5891</v>
      </c>
      <c r="K308" s="1">
        <v>1.431</v>
      </c>
      <c r="L308" s="1">
        <v>1.071</v>
      </c>
      <c r="M308" s="1">
        <v>1.282</v>
      </c>
      <c r="N308" s="1">
        <v>441</v>
      </c>
      <c r="O308" s="1">
        <v>137.6</v>
      </c>
      <c r="P308" s="1">
        <v>154.5</v>
      </c>
      <c r="Q308" s="1">
        <v>11.43</v>
      </c>
      <c r="R308" s="1">
        <v>72</v>
      </c>
      <c r="S308" s="1">
        <v>14.01</v>
      </c>
      <c r="T308" s="1">
        <v>6.17</v>
      </c>
      <c r="U308" s="1">
        <v>10</v>
      </c>
    </row>
    <row r="309" spans="1:21">
      <c r="A309" s="1">
        <v>12</v>
      </c>
      <c r="B309" s="1">
        <v>0.89622000000000002</v>
      </c>
      <c r="C309" s="108">
        <f t="shared" si="21"/>
        <v>129.98595636000002</v>
      </c>
      <c r="D309" s="1">
        <v>1107.4000000000001</v>
      </c>
      <c r="E309" s="1">
        <f t="shared" si="22"/>
        <v>46.772684752104773</v>
      </c>
      <c r="F309" s="1">
        <v>2.138E-2</v>
      </c>
      <c r="G309" s="1">
        <v>216.91</v>
      </c>
      <c r="H309" s="1">
        <v>367.61</v>
      </c>
      <c r="I309" s="1">
        <v>1.0597000000000001</v>
      </c>
      <c r="J309" s="1">
        <v>1.5883</v>
      </c>
      <c r="K309" s="1">
        <v>1.4430000000000001</v>
      </c>
      <c r="L309" s="1">
        <v>1.0880000000000001</v>
      </c>
      <c r="M309" s="1">
        <v>1.2909999999999999</v>
      </c>
      <c r="N309" s="1">
        <v>431</v>
      </c>
      <c r="O309" s="1">
        <v>137</v>
      </c>
      <c r="P309" s="1">
        <v>150.5</v>
      </c>
      <c r="Q309" s="1">
        <v>11.52</v>
      </c>
      <c r="R309" s="1">
        <v>71.2</v>
      </c>
      <c r="S309" s="1">
        <v>14.24</v>
      </c>
      <c r="T309" s="1">
        <v>5.93</v>
      </c>
      <c r="U309" s="1">
        <v>12</v>
      </c>
    </row>
    <row r="310" spans="1:21">
      <c r="A310" s="1">
        <v>14</v>
      </c>
      <c r="B310" s="1">
        <v>0.94899999999999995</v>
      </c>
      <c r="C310" s="108">
        <f t="shared" si="21"/>
        <v>137.64106200000001</v>
      </c>
      <c r="D310" s="1">
        <v>1098.7</v>
      </c>
      <c r="E310" s="1">
        <f t="shared" si="22"/>
        <v>49.70178926441352</v>
      </c>
      <c r="F310" s="1">
        <v>2.0119999999999999E-2</v>
      </c>
      <c r="G310" s="1">
        <v>219.8</v>
      </c>
      <c r="H310" s="1">
        <v>368.46</v>
      </c>
      <c r="I310" s="1">
        <v>1.0696000000000001</v>
      </c>
      <c r="J310" s="1">
        <v>1.5873999999999999</v>
      </c>
      <c r="K310" s="1">
        <v>1.4550000000000001</v>
      </c>
      <c r="L310" s="1">
        <v>1.105</v>
      </c>
      <c r="M310" s="1">
        <v>1.302</v>
      </c>
      <c r="N310" s="1">
        <v>422</v>
      </c>
      <c r="O310" s="1">
        <v>136.30000000000001</v>
      </c>
      <c r="P310" s="1">
        <v>146.6</v>
      </c>
      <c r="Q310" s="1">
        <v>11.63</v>
      </c>
      <c r="R310" s="1">
        <v>70.400000000000006</v>
      </c>
      <c r="S310" s="1">
        <v>14.49</v>
      </c>
      <c r="T310" s="1">
        <v>5.69</v>
      </c>
      <c r="U310" s="1">
        <v>14</v>
      </c>
    </row>
    <row r="311" spans="1:21">
      <c r="A311" s="1">
        <v>16</v>
      </c>
      <c r="B311" s="1">
        <v>1.0041</v>
      </c>
      <c r="C311" s="108">
        <f t="shared" si="21"/>
        <v>145.63265580000001</v>
      </c>
      <c r="D311" s="1">
        <v>1089.9000000000001</v>
      </c>
      <c r="E311" s="1">
        <f t="shared" si="22"/>
        <v>52.770448548812659</v>
      </c>
      <c r="F311" s="1">
        <v>1.8950000000000002E-2</v>
      </c>
      <c r="G311" s="1">
        <v>222.71</v>
      </c>
      <c r="H311" s="1">
        <v>369.28</v>
      </c>
      <c r="I311" s="1">
        <v>1.0795999999999999</v>
      </c>
      <c r="J311" s="1">
        <v>1.5865</v>
      </c>
      <c r="K311" s="1">
        <v>1.468</v>
      </c>
      <c r="L311" s="1">
        <v>1.1240000000000001</v>
      </c>
      <c r="M311" s="1">
        <v>1.3140000000000001</v>
      </c>
      <c r="N311" s="1">
        <v>412</v>
      </c>
      <c r="O311" s="1">
        <v>135.6</v>
      </c>
      <c r="P311" s="1">
        <v>142.69999999999999</v>
      </c>
      <c r="Q311" s="1">
        <v>11.73</v>
      </c>
      <c r="R311" s="1">
        <v>69.599999999999994</v>
      </c>
      <c r="S311" s="1">
        <v>14.75</v>
      </c>
      <c r="T311" s="1">
        <v>5.45</v>
      </c>
      <c r="U311" s="1">
        <v>16</v>
      </c>
    </row>
    <row r="312" spans="1:21">
      <c r="A312" s="1">
        <v>18</v>
      </c>
      <c r="B312" s="1">
        <v>1.0615000000000001</v>
      </c>
      <c r="C312" s="108">
        <f t="shared" si="21"/>
        <v>153.95783700000004</v>
      </c>
      <c r="D312" s="1">
        <v>1080.9000000000001</v>
      </c>
      <c r="E312" s="1">
        <f t="shared" si="22"/>
        <v>56.022408963585427</v>
      </c>
      <c r="F312" s="1">
        <v>1.7850000000000001E-2</v>
      </c>
      <c r="G312" s="1">
        <v>225.65</v>
      </c>
      <c r="H312" s="1">
        <v>370.07</v>
      </c>
      <c r="I312" s="1">
        <v>1.0894999999999999</v>
      </c>
      <c r="J312" s="1">
        <v>1.5855999999999999</v>
      </c>
      <c r="K312" s="1">
        <v>1.482</v>
      </c>
      <c r="L312" s="1">
        <v>1.1439999999999999</v>
      </c>
      <c r="M312" s="1">
        <v>1.327</v>
      </c>
      <c r="N312" s="1">
        <v>402</v>
      </c>
      <c r="O312" s="1">
        <v>134.9</v>
      </c>
      <c r="P312" s="1">
        <v>138.9</v>
      </c>
      <c r="Q312" s="1">
        <v>11.86</v>
      </c>
      <c r="R312" s="1">
        <v>68.8</v>
      </c>
      <c r="S312" s="1">
        <v>15.01</v>
      </c>
      <c r="T312" s="1">
        <v>5.21</v>
      </c>
      <c r="U312" s="1">
        <v>18</v>
      </c>
    </row>
    <row r="313" spans="1:21">
      <c r="A313" s="1">
        <v>20</v>
      </c>
      <c r="B313" s="1">
        <v>1.1214</v>
      </c>
      <c r="C313" s="108">
        <f t="shared" si="21"/>
        <v>162.64561320000001</v>
      </c>
      <c r="D313" s="1">
        <v>1071.7</v>
      </c>
      <c r="E313" s="1">
        <f t="shared" si="22"/>
        <v>59.41770647653</v>
      </c>
      <c r="F313" s="1">
        <v>1.6830000000000001E-2</v>
      </c>
      <c r="G313" s="1">
        <v>228.61</v>
      </c>
      <c r="H313" s="1">
        <v>370.83</v>
      </c>
      <c r="I313" s="1">
        <v>1.0994999999999999</v>
      </c>
      <c r="J313" s="1">
        <v>1.5846</v>
      </c>
      <c r="K313" s="1">
        <v>1.4970000000000001</v>
      </c>
      <c r="L313" s="1">
        <v>1.165</v>
      </c>
      <c r="M313" s="1">
        <v>1.341</v>
      </c>
      <c r="N313" s="1">
        <v>392</v>
      </c>
      <c r="O313" s="1">
        <v>134.1</v>
      </c>
      <c r="P313" s="1">
        <v>135.1</v>
      </c>
      <c r="Q313" s="1">
        <v>11.97</v>
      </c>
      <c r="R313" s="1">
        <v>67.900000000000006</v>
      </c>
      <c r="S313" s="1">
        <v>15.29</v>
      </c>
      <c r="T313" s="1">
        <v>4.97</v>
      </c>
      <c r="U313" s="1">
        <v>20</v>
      </c>
    </row>
    <row r="314" spans="1:21">
      <c r="A314" s="1">
        <v>22</v>
      </c>
      <c r="B314" s="1">
        <v>1.1837</v>
      </c>
      <c r="C314" s="108">
        <f t="shared" si="21"/>
        <v>171.68148060000001</v>
      </c>
      <c r="D314" s="1">
        <v>1062.4000000000001</v>
      </c>
      <c r="E314" s="1">
        <f t="shared" si="22"/>
        <v>63.051702395964696</v>
      </c>
      <c r="F314" s="1">
        <v>1.5859999999999999E-2</v>
      </c>
      <c r="G314" s="1">
        <v>231.6</v>
      </c>
      <c r="H314" s="1">
        <v>371.55</v>
      </c>
      <c r="I314" s="1">
        <v>1.1093999999999999</v>
      </c>
      <c r="J314" s="1">
        <v>1.5835999999999999</v>
      </c>
      <c r="K314" s="1">
        <v>1.5129999999999999</v>
      </c>
      <c r="L314" s="1">
        <v>1.1879999999999999</v>
      </c>
      <c r="M314" s="1">
        <v>1.3560000000000001</v>
      </c>
      <c r="N314" s="1">
        <v>382</v>
      </c>
      <c r="O314" s="1">
        <v>133.19999999999999</v>
      </c>
      <c r="P314" s="1">
        <v>131.5</v>
      </c>
      <c r="Q314" s="1">
        <v>12.09</v>
      </c>
      <c r="R314" s="1">
        <v>67.099999999999994</v>
      </c>
      <c r="S314" s="1">
        <v>15.58</v>
      </c>
      <c r="T314" s="1">
        <v>4.74</v>
      </c>
      <c r="U314" s="1">
        <v>22</v>
      </c>
    </row>
    <row r="315" spans="1:21">
      <c r="A315" s="1">
        <v>24</v>
      </c>
      <c r="B315" s="1">
        <v>1.2485999999999999</v>
      </c>
      <c r="C315" s="108">
        <f t="shared" si="21"/>
        <v>181.09444680000001</v>
      </c>
      <c r="D315" s="1">
        <v>1052.8</v>
      </c>
      <c r="E315" s="1">
        <f t="shared" si="22"/>
        <v>66.889632107023417</v>
      </c>
      <c r="F315" s="1">
        <v>1.495E-2</v>
      </c>
      <c r="G315" s="1">
        <v>234.61</v>
      </c>
      <c r="H315" s="1">
        <v>372.25</v>
      </c>
      <c r="I315" s="1">
        <v>1.1194</v>
      </c>
      <c r="J315" s="1">
        <v>1.5826</v>
      </c>
      <c r="K315" s="1">
        <v>1.53</v>
      </c>
      <c r="L315" s="1">
        <v>1.212</v>
      </c>
      <c r="M315" s="1">
        <v>1.3720000000000001</v>
      </c>
      <c r="N315" s="1">
        <v>372</v>
      </c>
      <c r="O315" s="1">
        <v>132.30000000000001</v>
      </c>
      <c r="P315" s="1">
        <v>127.9</v>
      </c>
      <c r="Q315" s="1">
        <v>12.22</v>
      </c>
      <c r="R315" s="1">
        <v>66.3</v>
      </c>
      <c r="S315" s="1">
        <v>15.89</v>
      </c>
      <c r="T315" s="1">
        <v>4.5</v>
      </c>
      <c r="U315" s="1">
        <v>24</v>
      </c>
    </row>
    <row r="316" spans="1:21">
      <c r="A316" s="1">
        <v>26</v>
      </c>
      <c r="B316" s="1">
        <v>1.3161</v>
      </c>
      <c r="C316" s="108">
        <f t="shared" si="21"/>
        <v>190.88451180000001</v>
      </c>
      <c r="D316" s="1">
        <v>1043</v>
      </c>
      <c r="E316" s="1">
        <f t="shared" si="22"/>
        <v>70.921985815602838</v>
      </c>
      <c r="F316" s="1">
        <v>1.41E-2</v>
      </c>
      <c r="G316" s="1">
        <v>237.66</v>
      </c>
      <c r="H316" s="1">
        <v>372.91</v>
      </c>
      <c r="I316" s="1">
        <v>1.1294</v>
      </c>
      <c r="J316" s="1">
        <v>1.5814999999999999</v>
      </c>
      <c r="K316" s="1">
        <v>1.548</v>
      </c>
      <c r="L316" s="1">
        <v>1.2390000000000001</v>
      </c>
      <c r="M316" s="1">
        <v>1.391</v>
      </c>
      <c r="N316" s="1">
        <v>362</v>
      </c>
      <c r="O316" s="1">
        <v>131.4</v>
      </c>
      <c r="P316" s="1">
        <v>124.3</v>
      </c>
      <c r="Q316" s="1">
        <v>12.35</v>
      </c>
      <c r="R316" s="1">
        <v>65.5</v>
      </c>
      <c r="S316" s="1">
        <v>16.21</v>
      </c>
      <c r="T316" s="1">
        <v>4.2699999999999996</v>
      </c>
      <c r="U316" s="1">
        <v>26</v>
      </c>
    </row>
    <row r="317" spans="1:21">
      <c r="A317" s="1">
        <v>28</v>
      </c>
      <c r="B317" s="1">
        <v>1.3864000000000001</v>
      </c>
      <c r="C317" s="108">
        <f t="shared" si="21"/>
        <v>201.08068320000004</v>
      </c>
      <c r="D317" s="1">
        <v>1032.9000000000001</v>
      </c>
      <c r="E317" s="1">
        <f t="shared" si="22"/>
        <v>75.244544770504135</v>
      </c>
      <c r="F317" s="1">
        <v>1.329E-2</v>
      </c>
      <c r="G317" s="1">
        <v>240.73</v>
      </c>
      <c r="H317" s="1">
        <v>373.52</v>
      </c>
      <c r="I317" s="1">
        <v>1.1394</v>
      </c>
      <c r="J317" s="1">
        <v>1.5804</v>
      </c>
      <c r="K317" s="1">
        <v>1.5680000000000001</v>
      </c>
      <c r="L317" s="1">
        <v>1.268</v>
      </c>
      <c r="M317" s="1">
        <v>1.411</v>
      </c>
      <c r="N317" s="1">
        <v>352</v>
      </c>
      <c r="O317" s="1">
        <v>130.4</v>
      </c>
      <c r="P317" s="1">
        <v>120.8</v>
      </c>
      <c r="Q317" s="1">
        <v>12.48</v>
      </c>
      <c r="R317" s="1">
        <v>64.7</v>
      </c>
      <c r="S317" s="1">
        <v>16.54</v>
      </c>
      <c r="T317" s="1">
        <v>4.04</v>
      </c>
      <c r="U317" s="1">
        <v>28</v>
      </c>
    </row>
    <row r="318" spans="1:21">
      <c r="A318" s="1">
        <v>30</v>
      </c>
      <c r="B318" s="1">
        <v>1.4594</v>
      </c>
      <c r="C318" s="108">
        <f t="shared" si="21"/>
        <v>211.66845720000003</v>
      </c>
      <c r="D318" s="1">
        <v>1022.6</v>
      </c>
      <c r="E318" s="1">
        <f t="shared" si="22"/>
        <v>79.808459696727851</v>
      </c>
      <c r="F318" s="1">
        <v>1.2529999999999999E-2</v>
      </c>
      <c r="G318" s="1">
        <v>243.84</v>
      </c>
      <c r="H318" s="1">
        <v>374.1</v>
      </c>
      <c r="I318" s="1">
        <v>1.1495</v>
      </c>
      <c r="J318" s="1">
        <v>1.5791999999999999</v>
      </c>
      <c r="K318" s="1">
        <v>1.589</v>
      </c>
      <c r="L318" s="1">
        <v>1.2989999999999999</v>
      </c>
      <c r="M318" s="1">
        <v>1.4330000000000001</v>
      </c>
      <c r="N318" s="1">
        <v>341</v>
      </c>
      <c r="O318" s="1">
        <v>129.30000000000001</v>
      </c>
      <c r="P318" s="1">
        <v>117.4</v>
      </c>
      <c r="Q318" s="1">
        <v>12.62</v>
      </c>
      <c r="R318" s="1">
        <v>63.9</v>
      </c>
      <c r="S318" s="1">
        <v>16.899999999999999</v>
      </c>
      <c r="T318" s="1">
        <v>3.81</v>
      </c>
      <c r="U318" s="1">
        <v>30</v>
      </c>
    </row>
    <row r="319" spans="1:21">
      <c r="A319" s="1">
        <v>32</v>
      </c>
      <c r="B319" s="1">
        <v>1.5351999999999999</v>
      </c>
      <c r="C319" s="108">
        <f t="shared" si="21"/>
        <v>222.6623376</v>
      </c>
      <c r="D319" s="1">
        <v>1011.9</v>
      </c>
      <c r="E319" s="1">
        <f t="shared" si="22"/>
        <v>84.602368866328248</v>
      </c>
      <c r="F319" s="1">
        <v>1.1820000000000001E-2</v>
      </c>
      <c r="G319" s="1">
        <v>246.98</v>
      </c>
      <c r="H319" s="1">
        <v>374.63</v>
      </c>
      <c r="I319" s="1">
        <v>1.1595</v>
      </c>
      <c r="J319" s="1">
        <v>1.5779000000000001</v>
      </c>
      <c r="K319" s="1">
        <v>1.6120000000000001</v>
      </c>
      <c r="L319" s="1">
        <v>1.333</v>
      </c>
      <c r="M319" s="1">
        <v>1.458</v>
      </c>
      <c r="N319" s="1">
        <v>331</v>
      </c>
      <c r="O319" s="1">
        <v>128.19999999999999</v>
      </c>
      <c r="P319" s="1">
        <v>114</v>
      </c>
      <c r="Q319" s="1">
        <v>12.77</v>
      </c>
      <c r="R319" s="1">
        <v>63.1</v>
      </c>
      <c r="S319" s="1">
        <v>17.28</v>
      </c>
      <c r="T319" s="1">
        <v>3.58</v>
      </c>
      <c r="U319" s="1">
        <v>32</v>
      </c>
    </row>
    <row r="320" spans="1:21">
      <c r="A320" s="1">
        <v>34</v>
      </c>
      <c r="B320" s="1">
        <v>1.6140000000000001</v>
      </c>
      <c r="C320" s="108">
        <f t="shared" si="21"/>
        <v>234.09133200000002</v>
      </c>
      <c r="D320" s="1">
        <v>1001</v>
      </c>
      <c r="E320" s="1">
        <f t="shared" si="22"/>
        <v>89.766606822262119</v>
      </c>
      <c r="F320" s="1">
        <v>1.1140000000000001E-2</v>
      </c>
      <c r="G320" s="1">
        <v>250.16</v>
      </c>
      <c r="H320" s="1">
        <v>375.11</v>
      </c>
      <c r="I320" s="1">
        <v>1.1697</v>
      </c>
      <c r="J320" s="1">
        <v>1.5765</v>
      </c>
      <c r="K320" s="1">
        <v>1.637</v>
      </c>
      <c r="L320" s="1">
        <v>1.371</v>
      </c>
      <c r="M320" s="1">
        <v>1.4850000000000001</v>
      </c>
      <c r="N320" s="1">
        <v>321</v>
      </c>
      <c r="O320" s="1">
        <v>127.1</v>
      </c>
      <c r="P320" s="1">
        <v>110.6</v>
      </c>
      <c r="Q320" s="1">
        <v>12.93</v>
      </c>
      <c r="R320" s="1">
        <v>62.2</v>
      </c>
      <c r="S320" s="1">
        <v>17.68</v>
      </c>
      <c r="T320" s="1">
        <v>3.35</v>
      </c>
      <c r="U320" s="1">
        <v>34</v>
      </c>
    </row>
    <row r="321" spans="1:21">
      <c r="A321" s="1">
        <v>36</v>
      </c>
      <c r="B321" s="1">
        <v>1.6958</v>
      </c>
      <c r="C321" s="108">
        <f t="shared" si="21"/>
        <v>245.95544040000001</v>
      </c>
      <c r="D321" s="1">
        <v>989.7</v>
      </c>
      <c r="E321" s="1">
        <f t="shared" si="22"/>
        <v>95.238095238095227</v>
      </c>
      <c r="F321" s="1">
        <v>1.0500000000000001E-2</v>
      </c>
      <c r="G321" s="1">
        <v>253.39</v>
      </c>
      <c r="H321" s="1">
        <v>375.54</v>
      </c>
      <c r="I321" s="1">
        <v>1.1798999999999999</v>
      </c>
      <c r="J321" s="1">
        <v>1.575</v>
      </c>
      <c r="K321" s="1">
        <v>1.6639999999999999</v>
      </c>
      <c r="L321" s="1">
        <v>1.413</v>
      </c>
      <c r="M321" s="1">
        <v>1.516</v>
      </c>
      <c r="N321" s="1">
        <v>310</v>
      </c>
      <c r="O321" s="1">
        <v>125.9</v>
      </c>
      <c r="P321" s="1">
        <v>107.3</v>
      </c>
      <c r="Q321" s="1">
        <v>13.1</v>
      </c>
      <c r="R321" s="1">
        <v>61.4</v>
      </c>
      <c r="S321" s="1">
        <v>18.12</v>
      </c>
      <c r="T321" s="1">
        <v>3.12</v>
      </c>
      <c r="U321" s="1">
        <v>36</v>
      </c>
    </row>
    <row r="322" spans="1:21">
      <c r="A322" s="1">
        <v>38</v>
      </c>
      <c r="B322" s="1">
        <v>1.7806999999999999</v>
      </c>
      <c r="C322" s="108">
        <f t="shared" si="21"/>
        <v>258.26916660000001</v>
      </c>
      <c r="D322" s="1">
        <v>978.1</v>
      </c>
      <c r="E322" s="1">
        <f t="shared" si="22"/>
        <v>101.11223458038423</v>
      </c>
      <c r="F322" s="1">
        <v>9.8899999999999995E-3</v>
      </c>
      <c r="G322" s="1">
        <v>256.64999999999998</v>
      </c>
      <c r="H322" s="1">
        <v>375.91</v>
      </c>
      <c r="I322" s="1">
        <v>1.1900999999999999</v>
      </c>
      <c r="J322" s="1">
        <v>1.5733999999999999</v>
      </c>
      <c r="K322" s="1">
        <v>1.6950000000000001</v>
      </c>
      <c r="L322" s="1">
        <v>1.4590000000000001</v>
      </c>
      <c r="M322" s="1">
        <v>1.5509999999999999</v>
      </c>
      <c r="N322" s="1">
        <v>300</v>
      </c>
      <c r="O322" s="1">
        <v>124.6</v>
      </c>
      <c r="P322" s="1">
        <v>104</v>
      </c>
      <c r="Q322" s="1">
        <v>13.28</v>
      </c>
      <c r="R322" s="1">
        <v>60.6</v>
      </c>
      <c r="S322" s="1">
        <v>18.579999999999998</v>
      </c>
      <c r="T322" s="1">
        <v>2.9</v>
      </c>
      <c r="U322" s="1">
        <v>38</v>
      </c>
    </row>
    <row r="323" spans="1:21">
      <c r="A323" s="1">
        <v>40</v>
      </c>
      <c r="B323" s="1">
        <v>1.8688</v>
      </c>
      <c r="C323" s="108">
        <f t="shared" si="21"/>
        <v>271.04701440000002</v>
      </c>
      <c r="D323" s="1">
        <v>966</v>
      </c>
      <c r="E323" s="1">
        <f t="shared" si="22"/>
        <v>107.29613733905579</v>
      </c>
      <c r="F323" s="1">
        <v>9.3200000000000002E-3</v>
      </c>
      <c r="G323" s="1">
        <v>259.95999999999998</v>
      </c>
      <c r="H323" s="1">
        <v>376.22</v>
      </c>
      <c r="I323" s="1">
        <v>1.2003999999999999</v>
      </c>
      <c r="J323" s="1">
        <v>1.5717000000000001</v>
      </c>
      <c r="K323" s="1">
        <v>1.7290000000000001</v>
      </c>
      <c r="L323" s="1">
        <v>1.5109999999999999</v>
      </c>
      <c r="M323" s="1">
        <v>1.591</v>
      </c>
      <c r="N323" s="1">
        <v>289</v>
      </c>
      <c r="O323" s="1">
        <v>123.2</v>
      </c>
      <c r="P323" s="1">
        <v>100.7</v>
      </c>
      <c r="Q323" s="1">
        <v>13.47</v>
      </c>
      <c r="R323" s="1">
        <v>59.8</v>
      </c>
      <c r="S323" s="1">
        <v>19.09</v>
      </c>
      <c r="T323" s="1">
        <v>2.68</v>
      </c>
      <c r="U323" s="1">
        <v>40</v>
      </c>
    </row>
    <row r="324" spans="1:21">
      <c r="A324" s="1">
        <v>42</v>
      </c>
      <c r="B324" s="1">
        <v>1.9601999999999999</v>
      </c>
      <c r="C324" s="108">
        <f t="shared" si="21"/>
        <v>284.30348760000004</v>
      </c>
      <c r="D324" s="1">
        <v>953.5</v>
      </c>
      <c r="E324" s="1">
        <f t="shared" si="22"/>
        <v>114.02508551881414</v>
      </c>
      <c r="F324" s="1">
        <v>8.77E-3</v>
      </c>
      <c r="G324" s="1">
        <v>263.33</v>
      </c>
      <c r="H324" s="1">
        <v>376.46</v>
      </c>
      <c r="I324" s="1">
        <v>1.2108000000000001</v>
      </c>
      <c r="J324" s="1">
        <v>1.5698000000000001</v>
      </c>
      <c r="K324" s="1">
        <v>1.7669999999999999</v>
      </c>
      <c r="L324" s="1">
        <v>1.57</v>
      </c>
      <c r="M324" s="1">
        <v>1.6359999999999999</v>
      </c>
      <c r="N324" s="1">
        <v>278</v>
      </c>
      <c r="O324" s="1">
        <v>121.8</v>
      </c>
      <c r="P324" s="1">
        <v>97.5</v>
      </c>
      <c r="Q324" s="1">
        <v>13.68</v>
      </c>
      <c r="R324" s="1">
        <v>59</v>
      </c>
      <c r="S324" s="1">
        <v>19.63</v>
      </c>
      <c r="T324" s="1">
        <v>2.4700000000000002</v>
      </c>
      <c r="U324" s="1">
        <v>42</v>
      </c>
    </row>
    <row r="325" spans="1:21">
      <c r="A325" s="1">
        <v>44</v>
      </c>
      <c r="B325" s="1">
        <v>2.0548999999999999</v>
      </c>
      <c r="C325" s="108">
        <f t="shared" si="21"/>
        <v>298.0385862</v>
      </c>
      <c r="D325" s="1">
        <v>940.5</v>
      </c>
      <c r="E325" s="1">
        <f t="shared" si="22"/>
        <v>121.2121212121212</v>
      </c>
      <c r="F325" s="1">
        <v>8.2500000000000004E-3</v>
      </c>
      <c r="G325" s="1">
        <v>266.74</v>
      </c>
      <c r="H325" s="1">
        <v>376.61</v>
      </c>
      <c r="I325" s="1">
        <v>1.2213000000000001</v>
      </c>
      <c r="J325" s="1">
        <v>1.5678000000000001</v>
      </c>
      <c r="K325" s="1">
        <v>1.8109999999999999</v>
      </c>
      <c r="L325" s="1">
        <v>1.6379999999999999</v>
      </c>
      <c r="M325" s="1">
        <v>1.6890000000000001</v>
      </c>
      <c r="N325" s="1">
        <v>267</v>
      </c>
      <c r="O325" s="1">
        <v>120.4</v>
      </c>
      <c r="P325" s="1">
        <v>94.3</v>
      </c>
      <c r="Q325" s="1">
        <v>13.9</v>
      </c>
      <c r="R325" s="1">
        <v>58.1</v>
      </c>
      <c r="S325" s="1">
        <v>20.23</v>
      </c>
      <c r="T325" s="1">
        <v>2.25</v>
      </c>
      <c r="U325" s="1">
        <v>44</v>
      </c>
    </row>
    <row r="326" spans="1:21">
      <c r="A326" s="1">
        <v>46</v>
      </c>
      <c r="B326" s="1">
        <v>2.1530999999999998</v>
      </c>
      <c r="C326" s="108">
        <f t="shared" si="21"/>
        <v>312.28131780000001</v>
      </c>
      <c r="D326" s="1">
        <v>926.9</v>
      </c>
      <c r="E326" s="1">
        <f t="shared" si="22"/>
        <v>128.86597938144328</v>
      </c>
      <c r="F326" s="1">
        <v>7.7600000000000004E-3</v>
      </c>
      <c r="G326" s="1">
        <v>270.23</v>
      </c>
      <c r="H326" s="1">
        <v>376.68</v>
      </c>
      <c r="I326" s="1">
        <v>1.232</v>
      </c>
      <c r="J326" s="1">
        <v>1.5654999999999999</v>
      </c>
      <c r="K326" s="1">
        <v>1.86</v>
      </c>
      <c r="L326" s="1">
        <v>1.716</v>
      </c>
      <c r="M326" s="1">
        <v>1.75</v>
      </c>
      <c r="N326" s="1">
        <v>256</v>
      </c>
      <c r="O326" s="1">
        <v>118.8</v>
      </c>
      <c r="P326" s="1">
        <v>91</v>
      </c>
      <c r="Q326" s="1">
        <v>14.14</v>
      </c>
      <c r="R326" s="1">
        <v>57.3</v>
      </c>
      <c r="S326" s="1">
        <v>20.89</v>
      </c>
      <c r="T326" s="1">
        <v>2.04</v>
      </c>
      <c r="U326" s="1">
        <v>46</v>
      </c>
    </row>
    <row r="327" spans="1:21">
      <c r="A327" s="1">
        <v>48</v>
      </c>
      <c r="B327" s="1">
        <v>2.2547999999999999</v>
      </c>
      <c r="C327" s="108">
        <f t="shared" si="21"/>
        <v>327.03168240000002</v>
      </c>
      <c r="D327" s="1">
        <v>912.7</v>
      </c>
      <c r="E327" s="1">
        <f t="shared" si="22"/>
        <v>137.36263736263737</v>
      </c>
      <c r="F327" s="1">
        <v>7.28E-3</v>
      </c>
      <c r="G327" s="1">
        <v>273.77999999999997</v>
      </c>
      <c r="H327" s="1">
        <v>376.66</v>
      </c>
      <c r="I327" s="1">
        <v>1.2426999999999999</v>
      </c>
      <c r="J327" s="1">
        <v>1.5630999999999999</v>
      </c>
      <c r="K327" s="1">
        <v>1.9179999999999999</v>
      </c>
      <c r="L327" s="1">
        <v>1.8069999999999999</v>
      </c>
      <c r="M327" s="1">
        <v>1.823</v>
      </c>
      <c r="N327" s="1">
        <v>245</v>
      </c>
      <c r="O327" s="1">
        <v>117.2</v>
      </c>
      <c r="P327" s="1">
        <v>87.8</v>
      </c>
      <c r="Q327" s="1">
        <v>14.41</v>
      </c>
      <c r="R327" s="1">
        <v>56.5</v>
      </c>
      <c r="S327" s="1">
        <v>21.62</v>
      </c>
      <c r="T327" s="1">
        <v>1.83</v>
      </c>
      <c r="U327" s="1">
        <v>48</v>
      </c>
    </row>
    <row r="328" spans="1:21">
      <c r="A328" s="1">
        <v>50</v>
      </c>
      <c r="B328" s="1">
        <v>2.3603000000000001</v>
      </c>
      <c r="C328" s="108">
        <f t="shared" si="21"/>
        <v>342.33319140000003</v>
      </c>
      <c r="D328" s="1">
        <v>897.7</v>
      </c>
      <c r="E328" s="1">
        <f t="shared" si="22"/>
        <v>146.41288433382138</v>
      </c>
      <c r="F328" s="1">
        <v>6.8300000000000001E-3</v>
      </c>
      <c r="G328" s="1">
        <v>277.41000000000003</v>
      </c>
      <c r="H328" s="1">
        <v>376.52</v>
      </c>
      <c r="I328" s="1">
        <v>1.2536</v>
      </c>
      <c r="J328" s="1">
        <v>1.5603</v>
      </c>
      <c r="K328" s="1">
        <v>1.9850000000000001</v>
      </c>
      <c r="L328" s="1">
        <v>1.915</v>
      </c>
      <c r="M328" s="1">
        <v>1.91</v>
      </c>
      <c r="N328" s="1">
        <v>233</v>
      </c>
      <c r="O328" s="1">
        <v>115.5</v>
      </c>
      <c r="P328" s="1">
        <v>84.6</v>
      </c>
      <c r="Q328" s="1">
        <v>14.7</v>
      </c>
      <c r="R328" s="1">
        <v>55.7</v>
      </c>
      <c r="S328" s="1">
        <v>22.43</v>
      </c>
      <c r="T328" s="1">
        <v>1.63</v>
      </c>
      <c r="U328" s="1">
        <v>50</v>
      </c>
    </row>
    <row r="329" spans="1:21">
      <c r="A329" s="1">
        <v>55</v>
      </c>
      <c r="B329" s="1">
        <v>2.6408999999999998</v>
      </c>
      <c r="C329" s="108">
        <f t="shared" si="21"/>
        <v>383.03085420000002</v>
      </c>
      <c r="D329" s="1">
        <v>856.2</v>
      </c>
      <c r="E329" s="1">
        <f t="shared" si="22"/>
        <v>173.01038062283735</v>
      </c>
      <c r="F329" s="1">
        <v>5.7800000000000004E-3</v>
      </c>
      <c r="G329" s="1">
        <v>286.91000000000003</v>
      </c>
      <c r="H329" s="1">
        <v>375.54</v>
      </c>
      <c r="I329" s="1">
        <v>1.2818000000000001</v>
      </c>
      <c r="J329" s="1">
        <v>1.5519000000000001</v>
      </c>
      <c r="K329" s="1">
        <v>2.2250000000000001</v>
      </c>
      <c r="L329" s="1">
        <v>2.3039999999999998</v>
      </c>
      <c r="M329" s="1">
        <v>2.2280000000000002</v>
      </c>
      <c r="N329" s="1">
        <v>203</v>
      </c>
      <c r="O329" s="1">
        <v>110.8</v>
      </c>
      <c r="P329" s="1">
        <v>76.400000000000006</v>
      </c>
      <c r="Q329" s="1">
        <v>15.59</v>
      </c>
      <c r="R329" s="1">
        <v>53.6</v>
      </c>
      <c r="S329" s="1">
        <v>24.98</v>
      </c>
      <c r="T329" s="1">
        <v>1.1499999999999999</v>
      </c>
      <c r="U329" s="1">
        <v>55</v>
      </c>
    </row>
    <row r="330" spans="1:21">
      <c r="A330" s="1">
        <v>60</v>
      </c>
      <c r="B330" s="1">
        <v>2.9476</v>
      </c>
      <c r="C330" s="108">
        <f t="shared" si="21"/>
        <v>427.51400880000006</v>
      </c>
      <c r="D330" s="1">
        <v>806.1</v>
      </c>
      <c r="E330" s="1">
        <f t="shared" si="22"/>
        <v>208.33333333333334</v>
      </c>
      <c r="F330" s="1">
        <v>4.7999999999999996E-3</v>
      </c>
      <c r="G330" s="1">
        <v>297.27999999999997</v>
      </c>
      <c r="H330" s="1">
        <v>373.26</v>
      </c>
      <c r="I330" s="1">
        <v>1.3120000000000001</v>
      </c>
      <c r="J330" s="1">
        <v>1.5401</v>
      </c>
      <c r="K330" s="1">
        <v>2.677</v>
      </c>
      <c r="L330" s="1">
        <v>3.06</v>
      </c>
      <c r="M330" s="1">
        <v>2.855</v>
      </c>
      <c r="N330" s="1">
        <v>171</v>
      </c>
      <c r="O330" s="1">
        <v>105.5</v>
      </c>
      <c r="P330" s="1">
        <v>67.7</v>
      </c>
      <c r="Q330" s="1">
        <v>16.86</v>
      </c>
      <c r="R330" s="1">
        <v>51.7</v>
      </c>
      <c r="S330" s="1">
        <v>28.77</v>
      </c>
      <c r="T330" s="1">
        <v>0.7</v>
      </c>
      <c r="U330" s="1">
        <v>60</v>
      </c>
    </row>
    <row r="331" spans="1:21">
      <c r="A331" s="1">
        <v>65</v>
      </c>
      <c r="B331" s="1">
        <v>3.2837999999999998</v>
      </c>
      <c r="C331" s="108">
        <f t="shared" ref="C331:C394" si="23">B331*145.038</f>
        <v>476.27578440000002</v>
      </c>
      <c r="D331" s="1">
        <v>739.1</v>
      </c>
      <c r="E331" s="1">
        <f t="shared" ref="E331:E394" si="24">1/F331</f>
        <v>260.41666666666669</v>
      </c>
      <c r="F331" s="1">
        <v>3.8400000000000001E-3</v>
      </c>
      <c r="G331" s="1">
        <v>309.3</v>
      </c>
      <c r="H331" s="1">
        <v>368.44</v>
      </c>
      <c r="I331" s="1">
        <v>1.3465</v>
      </c>
      <c r="J331" s="1">
        <v>1.5215000000000001</v>
      </c>
      <c r="K331" s="1">
        <v>3.94</v>
      </c>
      <c r="L331" s="1">
        <v>5.19</v>
      </c>
      <c r="M331" s="1">
        <v>4.625</v>
      </c>
      <c r="N331" s="1">
        <v>135</v>
      </c>
      <c r="O331" s="1">
        <v>99.3</v>
      </c>
      <c r="P331" s="1">
        <v>57.9</v>
      </c>
      <c r="Q331" s="1">
        <v>18.93</v>
      </c>
      <c r="R331" s="1">
        <v>50.7</v>
      </c>
      <c r="S331" s="1">
        <v>35.54</v>
      </c>
      <c r="T331" s="1">
        <v>0.31</v>
      </c>
      <c r="U331" s="1">
        <v>65</v>
      </c>
    </row>
    <row r="332" spans="1:21">
      <c r="A332" s="1">
        <v>70</v>
      </c>
      <c r="B332" s="1">
        <v>3.6556999999999999</v>
      </c>
      <c r="C332" s="108">
        <f t="shared" si="23"/>
        <v>530.21541660000003</v>
      </c>
      <c r="D332" s="1">
        <v>599.6</v>
      </c>
      <c r="E332" s="1">
        <f t="shared" si="24"/>
        <v>384.61538461538464</v>
      </c>
      <c r="F332" s="1">
        <v>2.5999999999999999E-3</v>
      </c>
      <c r="G332" s="1">
        <v>328.32</v>
      </c>
      <c r="H332" s="1">
        <v>353.47</v>
      </c>
      <c r="I332" s="1">
        <v>1.4007000000000001</v>
      </c>
      <c r="J332" s="1">
        <v>1.474</v>
      </c>
      <c r="K332" s="1">
        <v>31.96</v>
      </c>
      <c r="L332" s="1">
        <v>44.63</v>
      </c>
      <c r="M332" s="1">
        <v>36.78</v>
      </c>
      <c r="N332" s="1">
        <v>92</v>
      </c>
      <c r="O332" s="1">
        <v>90.7</v>
      </c>
      <c r="P332" s="1">
        <v>42</v>
      </c>
      <c r="Q332" s="1">
        <v>25.07</v>
      </c>
      <c r="R332" s="1">
        <v>63.2</v>
      </c>
      <c r="S332" s="1">
        <v>67.27</v>
      </c>
      <c r="T332" s="1">
        <v>0.02</v>
      </c>
      <c r="U332" s="1">
        <v>70</v>
      </c>
    </row>
    <row r="333" spans="1:21">
      <c r="A333" s="1">
        <v>70.62</v>
      </c>
      <c r="B333" s="1">
        <v>3.7050000000000001</v>
      </c>
      <c r="C333" s="108">
        <f t="shared" si="23"/>
        <v>537.36579000000006</v>
      </c>
      <c r="D333" s="1">
        <v>490.8</v>
      </c>
      <c r="E333" s="1">
        <f t="shared" si="24"/>
        <v>490.19607843137254</v>
      </c>
      <c r="F333" s="1">
        <v>2.0400000000000001E-3</v>
      </c>
      <c r="G333" s="1">
        <v>340.45</v>
      </c>
      <c r="H333" s="1">
        <v>340.45</v>
      </c>
      <c r="I333" s="1">
        <v>1.4358</v>
      </c>
      <c r="J333" s="1">
        <v>1.4358</v>
      </c>
      <c r="K333" s="1" t="s">
        <v>310</v>
      </c>
      <c r="L333" s="1" t="s">
        <v>310</v>
      </c>
      <c r="M333" s="1" t="s">
        <v>310</v>
      </c>
      <c r="N333" s="1">
        <v>0</v>
      </c>
      <c r="O333" s="1">
        <v>0</v>
      </c>
      <c r="P333" s="1" t="s">
        <v>311</v>
      </c>
      <c r="Q333" s="1" t="s">
        <v>311</v>
      </c>
      <c r="R333" s="1" t="s">
        <v>311</v>
      </c>
      <c r="S333" s="1" t="s">
        <v>311</v>
      </c>
      <c r="T333" s="1">
        <v>0</v>
      </c>
      <c r="U333" s="1">
        <v>70.62</v>
      </c>
    </row>
    <row r="334" spans="1:21">
      <c r="A334" s="1"/>
      <c r="B334" s="1"/>
      <c r="C334" s="108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>
      <c r="A335" s="1"/>
      <c r="B335" s="1"/>
      <c r="C335" s="108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>
      <c r="A336" s="1"/>
      <c r="B336" s="1"/>
      <c r="C336" s="108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>
      <c r="A337" s="1"/>
      <c r="B337" s="1"/>
      <c r="C337" s="108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>
      <c r="A338" s="109" t="s">
        <v>312</v>
      </c>
      <c r="B338" s="110" t="s">
        <v>313</v>
      </c>
      <c r="C338" s="110" t="s">
        <v>331</v>
      </c>
      <c r="D338" s="110" t="s">
        <v>314</v>
      </c>
      <c r="E338" s="110" t="s">
        <v>315</v>
      </c>
      <c r="F338" s="110" t="s">
        <v>332</v>
      </c>
      <c r="G338" s="110" t="s">
        <v>316</v>
      </c>
      <c r="H338" s="110" t="s">
        <v>317</v>
      </c>
      <c r="I338" s="110" t="s">
        <v>318</v>
      </c>
      <c r="J338" s="110" t="s">
        <v>319</v>
      </c>
      <c r="K338" s="110" t="s">
        <v>320</v>
      </c>
      <c r="L338" s="110" t="s">
        <v>321</v>
      </c>
      <c r="M338" s="111" t="s">
        <v>322</v>
      </c>
      <c r="N338" s="110" t="s">
        <v>323</v>
      </c>
      <c r="O338" s="110" t="s">
        <v>324</v>
      </c>
      <c r="P338" s="110" t="s">
        <v>325</v>
      </c>
      <c r="Q338" s="110" t="s">
        <v>326</v>
      </c>
      <c r="R338" s="110" t="s">
        <v>327</v>
      </c>
      <c r="S338" s="110" t="s">
        <v>328</v>
      </c>
      <c r="T338" s="110" t="s">
        <v>329</v>
      </c>
      <c r="U338" s="112" t="s">
        <v>466</v>
      </c>
    </row>
    <row r="339" spans="1:21">
      <c r="A339" s="32">
        <v>-77.650000000000006</v>
      </c>
      <c r="B339" s="1">
        <v>6.0899999999999999E-3</v>
      </c>
      <c r="C339" s="108">
        <f t="shared" si="23"/>
        <v>0.88328142000000009</v>
      </c>
      <c r="D339" s="1">
        <v>732.9</v>
      </c>
      <c r="E339" s="1">
        <f t="shared" si="24"/>
        <v>6.409434687860531E-2</v>
      </c>
      <c r="F339" s="1">
        <v>15.602</v>
      </c>
      <c r="G339" s="1" t="s">
        <v>596</v>
      </c>
      <c r="H339" s="1">
        <v>1341.23</v>
      </c>
      <c r="I339" s="1" t="s">
        <v>597</v>
      </c>
      <c r="J339" s="1">
        <v>7.1212999999999997</v>
      </c>
      <c r="K339" s="1">
        <v>4.202</v>
      </c>
      <c r="L339" s="1">
        <v>2.0630000000000002</v>
      </c>
      <c r="M339" s="1">
        <v>1.325</v>
      </c>
      <c r="N339" s="1">
        <v>2124</v>
      </c>
      <c r="O339" s="1">
        <v>354.1</v>
      </c>
      <c r="P339" s="1">
        <v>559.6</v>
      </c>
      <c r="Q339" s="1">
        <v>6.84</v>
      </c>
      <c r="R339" s="1">
        <v>819</v>
      </c>
      <c r="S339" s="1">
        <v>19.64</v>
      </c>
      <c r="T339" s="1">
        <v>62.26</v>
      </c>
      <c r="U339" s="1" t="s">
        <v>598</v>
      </c>
    </row>
    <row r="340" spans="1:21">
      <c r="A340" s="32">
        <v>-70</v>
      </c>
      <c r="B340" s="1">
        <v>1.094E-2</v>
      </c>
      <c r="C340" s="108">
        <f t="shared" si="23"/>
        <v>1.5867157200000002</v>
      </c>
      <c r="D340" s="1">
        <v>724.7</v>
      </c>
      <c r="E340" s="1">
        <f t="shared" si="24"/>
        <v>0.1110136657822578</v>
      </c>
      <c r="F340" s="1">
        <v>9.0078999999999994</v>
      </c>
      <c r="G340" s="1" t="s">
        <v>599</v>
      </c>
      <c r="H340" s="1">
        <v>1355.55</v>
      </c>
      <c r="I340" s="1" t="s">
        <v>600</v>
      </c>
      <c r="J340" s="1">
        <v>6.9088000000000003</v>
      </c>
      <c r="K340" s="1">
        <v>4.2450000000000001</v>
      </c>
      <c r="L340" s="1">
        <v>2.0859999999999999</v>
      </c>
      <c r="M340" s="1">
        <v>1.327</v>
      </c>
      <c r="N340" s="1">
        <v>2051</v>
      </c>
      <c r="O340" s="1">
        <v>360.5</v>
      </c>
      <c r="P340" s="1">
        <v>475</v>
      </c>
      <c r="Q340" s="1">
        <v>7.03</v>
      </c>
      <c r="R340" s="1">
        <v>792.1</v>
      </c>
      <c r="S340" s="1">
        <v>19.73</v>
      </c>
      <c r="T340" s="1">
        <v>59.1</v>
      </c>
      <c r="U340" s="1">
        <v>-70</v>
      </c>
    </row>
    <row r="341" spans="1:21">
      <c r="A341" s="32">
        <v>-60</v>
      </c>
      <c r="B341" s="1">
        <v>2.189E-2</v>
      </c>
      <c r="C341" s="108">
        <f t="shared" si="23"/>
        <v>3.1748818200000004</v>
      </c>
      <c r="D341" s="1">
        <v>713.6</v>
      </c>
      <c r="E341" s="1">
        <f t="shared" si="24"/>
        <v>0.21250823469409438</v>
      </c>
      <c r="F341" s="1">
        <v>4.7057000000000002</v>
      </c>
      <c r="G341" s="1" t="s">
        <v>601</v>
      </c>
      <c r="H341" s="1">
        <v>1373.73</v>
      </c>
      <c r="I341" s="1" t="s">
        <v>602</v>
      </c>
      <c r="J341" s="1">
        <v>6.6601999999999997</v>
      </c>
      <c r="K341" s="1">
        <v>4.3029999999999999</v>
      </c>
      <c r="L341" s="1">
        <v>2.125</v>
      </c>
      <c r="M341" s="1">
        <v>1.33</v>
      </c>
      <c r="N341" s="1">
        <v>1967</v>
      </c>
      <c r="O341" s="1">
        <v>368.4</v>
      </c>
      <c r="P341" s="1">
        <v>391.3</v>
      </c>
      <c r="Q341" s="1">
        <v>7.3</v>
      </c>
      <c r="R341" s="1">
        <v>757</v>
      </c>
      <c r="S341" s="1">
        <v>19.93</v>
      </c>
      <c r="T341" s="1">
        <v>55.05</v>
      </c>
      <c r="U341" s="1">
        <v>-60</v>
      </c>
    </row>
    <row r="342" spans="1:21">
      <c r="A342" s="32">
        <v>-50</v>
      </c>
      <c r="B342" s="1">
        <v>4.0840000000000001E-2</v>
      </c>
      <c r="C342" s="108">
        <f t="shared" si="23"/>
        <v>5.9233519200000009</v>
      </c>
      <c r="D342" s="1">
        <v>702.1</v>
      </c>
      <c r="E342" s="1">
        <f t="shared" si="24"/>
        <v>0.38056094683563574</v>
      </c>
      <c r="F342" s="1">
        <v>2.6276999999999999</v>
      </c>
      <c r="G342" s="1" t="s">
        <v>603</v>
      </c>
      <c r="H342" s="1">
        <v>1391.19</v>
      </c>
      <c r="I342" s="1">
        <v>9.4500000000000001E-2</v>
      </c>
      <c r="J342" s="1">
        <v>6.4396000000000004</v>
      </c>
      <c r="K342" s="1">
        <v>4.3600000000000003</v>
      </c>
      <c r="L342" s="1">
        <v>2.1779999999999999</v>
      </c>
      <c r="M342" s="1">
        <v>1.335</v>
      </c>
      <c r="N342" s="1">
        <v>1890</v>
      </c>
      <c r="O342" s="1">
        <v>375.6</v>
      </c>
      <c r="P342" s="1">
        <v>328.9</v>
      </c>
      <c r="Q342" s="1">
        <v>7.57</v>
      </c>
      <c r="R342" s="1">
        <v>722.3</v>
      </c>
      <c r="S342" s="1">
        <v>20.239999999999998</v>
      </c>
      <c r="T342" s="1">
        <v>51.11</v>
      </c>
      <c r="U342" s="1">
        <v>-50</v>
      </c>
    </row>
    <row r="343" spans="1:21">
      <c r="A343" s="32">
        <v>-40</v>
      </c>
      <c r="B343" s="1">
        <v>7.1690000000000004E-2</v>
      </c>
      <c r="C343" s="108">
        <f t="shared" si="23"/>
        <v>10.397774220000001</v>
      </c>
      <c r="D343" s="1">
        <v>690.2</v>
      </c>
      <c r="E343" s="1">
        <f t="shared" si="24"/>
        <v>0.64379063928410485</v>
      </c>
      <c r="F343" s="1">
        <v>1.5532999999999999</v>
      </c>
      <c r="G343" s="1">
        <v>19.170000000000002</v>
      </c>
      <c r="H343" s="1">
        <v>1407.76</v>
      </c>
      <c r="I343" s="1">
        <v>0.28670000000000001</v>
      </c>
      <c r="J343" s="1">
        <v>6.2424999999999997</v>
      </c>
      <c r="K343" s="1">
        <v>4.4139999999999997</v>
      </c>
      <c r="L343" s="1">
        <v>2.2440000000000002</v>
      </c>
      <c r="M343" s="1">
        <v>1.3420000000000001</v>
      </c>
      <c r="N343" s="1">
        <v>1816</v>
      </c>
      <c r="O343" s="1">
        <v>382.2</v>
      </c>
      <c r="P343" s="1">
        <v>281.2</v>
      </c>
      <c r="Q343" s="1">
        <v>7.86</v>
      </c>
      <c r="R343" s="1">
        <v>688.1</v>
      </c>
      <c r="S343" s="1">
        <v>20.64</v>
      </c>
      <c r="T343" s="1">
        <v>47.26</v>
      </c>
      <c r="U343" s="1">
        <v>-40</v>
      </c>
    </row>
    <row r="344" spans="1:21">
      <c r="A344" s="32">
        <v>-38</v>
      </c>
      <c r="B344" s="1">
        <v>7.9710000000000003E-2</v>
      </c>
      <c r="C344" s="108">
        <f t="shared" si="23"/>
        <v>11.560978980000002</v>
      </c>
      <c r="D344" s="1">
        <v>687.7</v>
      </c>
      <c r="E344" s="1">
        <f t="shared" si="24"/>
        <v>0.71083309638896786</v>
      </c>
      <c r="F344" s="1">
        <v>1.4068000000000001</v>
      </c>
      <c r="G344" s="1">
        <v>28.01</v>
      </c>
      <c r="H344" s="1">
        <v>1410.96</v>
      </c>
      <c r="I344" s="1">
        <v>0.32450000000000001</v>
      </c>
      <c r="J344" s="1">
        <v>6.2055999999999996</v>
      </c>
      <c r="K344" s="1">
        <v>4.4240000000000004</v>
      </c>
      <c r="L344" s="1">
        <v>2.2589999999999999</v>
      </c>
      <c r="M344" s="1">
        <v>1.343</v>
      </c>
      <c r="N344" s="1">
        <v>1802</v>
      </c>
      <c r="O344" s="1">
        <v>383.4</v>
      </c>
      <c r="P344" s="1">
        <v>273.10000000000002</v>
      </c>
      <c r="Q344" s="1">
        <v>7.92</v>
      </c>
      <c r="R344" s="1">
        <v>681.4</v>
      </c>
      <c r="S344" s="1">
        <v>20.73</v>
      </c>
      <c r="T344" s="1">
        <v>46.51</v>
      </c>
      <c r="U344" s="1">
        <v>-38</v>
      </c>
    </row>
    <row r="345" spans="1:21">
      <c r="A345" s="32">
        <v>-36</v>
      </c>
      <c r="B345" s="1">
        <v>8.8450000000000001E-2</v>
      </c>
      <c r="C345" s="108">
        <f t="shared" si="23"/>
        <v>12.828611100000002</v>
      </c>
      <c r="D345" s="1">
        <v>685.3</v>
      </c>
      <c r="E345" s="1">
        <f t="shared" si="24"/>
        <v>0.78339208773991387</v>
      </c>
      <c r="F345" s="1">
        <v>1.2765</v>
      </c>
      <c r="G345" s="1">
        <v>36.880000000000003</v>
      </c>
      <c r="H345" s="1">
        <v>1414.11</v>
      </c>
      <c r="I345" s="1">
        <v>0.3619</v>
      </c>
      <c r="J345" s="1">
        <v>6.1694000000000004</v>
      </c>
      <c r="K345" s="1">
        <v>4.4340000000000002</v>
      </c>
      <c r="L345" s="1">
        <v>2.2749999999999999</v>
      </c>
      <c r="M345" s="1">
        <v>1.345</v>
      </c>
      <c r="N345" s="1">
        <v>1787</v>
      </c>
      <c r="O345" s="1">
        <v>384.6</v>
      </c>
      <c r="P345" s="1">
        <v>265.3</v>
      </c>
      <c r="Q345" s="1">
        <v>7.98</v>
      </c>
      <c r="R345" s="1">
        <v>674.6</v>
      </c>
      <c r="S345" s="1">
        <v>20.83</v>
      </c>
      <c r="T345" s="1">
        <v>45.75</v>
      </c>
      <c r="U345" s="1">
        <v>-36</v>
      </c>
    </row>
    <row r="346" spans="1:21">
      <c r="A346" s="32">
        <v>-34</v>
      </c>
      <c r="B346" s="1">
        <v>9.7949999999999995E-2</v>
      </c>
      <c r="C346" s="108">
        <f t="shared" si="23"/>
        <v>14.206472100000001</v>
      </c>
      <c r="D346" s="1">
        <v>682.8</v>
      </c>
      <c r="E346" s="1">
        <f t="shared" si="24"/>
        <v>0.86177180282661148</v>
      </c>
      <c r="F346" s="1">
        <v>1.1604000000000001</v>
      </c>
      <c r="G346" s="1">
        <v>45.77</v>
      </c>
      <c r="H346" s="1">
        <v>1417.23</v>
      </c>
      <c r="I346" s="1">
        <v>0.3992</v>
      </c>
      <c r="J346" s="1">
        <v>6.1338999999999997</v>
      </c>
      <c r="K346" s="1">
        <v>4.444</v>
      </c>
      <c r="L346" s="1">
        <v>2.2909999999999999</v>
      </c>
      <c r="M346" s="1">
        <v>1.347</v>
      </c>
      <c r="N346" s="1">
        <v>1773</v>
      </c>
      <c r="O346" s="1">
        <v>385.8</v>
      </c>
      <c r="P346" s="1">
        <v>257.89999999999998</v>
      </c>
      <c r="Q346" s="1">
        <v>8.0299999999999994</v>
      </c>
      <c r="R346" s="1">
        <v>667.9</v>
      </c>
      <c r="S346" s="1">
        <v>20.93</v>
      </c>
      <c r="T346" s="1">
        <v>45</v>
      </c>
      <c r="U346" s="1">
        <v>-34</v>
      </c>
    </row>
    <row r="347" spans="1:21">
      <c r="A347" s="32">
        <v>-33.33</v>
      </c>
      <c r="B347" s="1">
        <v>0.10133</v>
      </c>
      <c r="C347" s="108">
        <f t="shared" si="23"/>
        <v>14.696700540000002</v>
      </c>
      <c r="D347" s="1">
        <v>682</v>
      </c>
      <c r="E347" s="1">
        <f t="shared" si="24"/>
        <v>0.88952143746664292</v>
      </c>
      <c r="F347" s="1">
        <v>1.1242000000000001</v>
      </c>
      <c r="G347" s="1">
        <v>48.76</v>
      </c>
      <c r="H347" s="1">
        <v>1418.26</v>
      </c>
      <c r="I347" s="1">
        <v>0.41170000000000001</v>
      </c>
      <c r="J347" s="1">
        <v>6.1220999999999997</v>
      </c>
      <c r="K347" s="1">
        <v>4.4480000000000004</v>
      </c>
      <c r="L347" s="1">
        <v>2.2970000000000002</v>
      </c>
      <c r="M347" s="1">
        <v>1.3480000000000001</v>
      </c>
      <c r="N347" s="1">
        <v>1768</v>
      </c>
      <c r="O347" s="1">
        <v>386.2</v>
      </c>
      <c r="P347" s="1">
        <v>255.5</v>
      </c>
      <c r="Q347" s="1">
        <v>8.0500000000000007</v>
      </c>
      <c r="R347" s="1">
        <v>665.7</v>
      </c>
      <c r="S347" s="1">
        <v>20.97</v>
      </c>
      <c r="T347" s="1">
        <v>44.75</v>
      </c>
      <c r="U347" s="1" t="s">
        <v>604</v>
      </c>
    </row>
    <row r="348" spans="1:21">
      <c r="A348" s="32">
        <v>-32</v>
      </c>
      <c r="B348" s="1">
        <v>0.10826</v>
      </c>
      <c r="C348" s="108">
        <f t="shared" si="23"/>
        <v>15.701813880000001</v>
      </c>
      <c r="D348" s="1">
        <v>680.3</v>
      </c>
      <c r="E348" s="1">
        <f t="shared" si="24"/>
        <v>0.94634238667549919</v>
      </c>
      <c r="F348" s="1">
        <v>1.0567</v>
      </c>
      <c r="G348" s="1">
        <v>54.67</v>
      </c>
      <c r="H348" s="1">
        <v>1420.29</v>
      </c>
      <c r="I348" s="1">
        <v>0.43619999999999998</v>
      </c>
      <c r="J348" s="1">
        <v>6.0991999999999997</v>
      </c>
      <c r="K348" s="1">
        <v>4.4550000000000001</v>
      </c>
      <c r="L348" s="1">
        <v>2.3079999999999998</v>
      </c>
      <c r="M348" s="1">
        <v>1.349</v>
      </c>
      <c r="N348" s="1">
        <v>1759</v>
      </c>
      <c r="O348" s="1">
        <v>387</v>
      </c>
      <c r="P348" s="1">
        <v>250.8</v>
      </c>
      <c r="Q348" s="1">
        <v>8.09</v>
      </c>
      <c r="R348" s="1">
        <v>661.3</v>
      </c>
      <c r="S348" s="1">
        <v>21.04</v>
      </c>
      <c r="T348" s="1">
        <v>44.26</v>
      </c>
      <c r="U348" s="1">
        <v>-32</v>
      </c>
    </row>
    <row r="349" spans="1:21">
      <c r="A349" s="32">
        <v>-30</v>
      </c>
      <c r="B349" s="1">
        <v>0.11942999999999999</v>
      </c>
      <c r="C349" s="108">
        <f t="shared" si="23"/>
        <v>17.321888340000001</v>
      </c>
      <c r="D349" s="1">
        <v>677.8</v>
      </c>
      <c r="E349" s="1">
        <f t="shared" si="24"/>
        <v>1.0373874434623842</v>
      </c>
      <c r="F349" s="1">
        <v>0.96396000000000004</v>
      </c>
      <c r="G349" s="1">
        <v>63.6</v>
      </c>
      <c r="H349" s="1">
        <v>1423.31</v>
      </c>
      <c r="I349" s="1">
        <v>0.47299999999999998</v>
      </c>
      <c r="J349" s="1">
        <v>6.0651000000000002</v>
      </c>
      <c r="K349" s="1">
        <v>4.4649999999999999</v>
      </c>
      <c r="L349" s="1">
        <v>2.3260000000000001</v>
      </c>
      <c r="M349" s="1">
        <v>1.351</v>
      </c>
      <c r="N349" s="1">
        <v>1744</v>
      </c>
      <c r="O349" s="1">
        <v>388.1</v>
      </c>
      <c r="P349" s="1">
        <v>244.1</v>
      </c>
      <c r="Q349" s="1">
        <v>8.15</v>
      </c>
      <c r="R349" s="1">
        <v>654.6</v>
      </c>
      <c r="S349" s="1">
        <v>21.15</v>
      </c>
      <c r="T349" s="1">
        <v>43.52</v>
      </c>
      <c r="U349" s="1">
        <v>-30</v>
      </c>
    </row>
    <row r="350" spans="1:21">
      <c r="A350" s="32">
        <v>-28</v>
      </c>
      <c r="B350" s="1">
        <v>0.13150999999999999</v>
      </c>
      <c r="C350" s="108">
        <f t="shared" si="23"/>
        <v>19.07394738</v>
      </c>
      <c r="D350" s="1">
        <v>675.3</v>
      </c>
      <c r="E350" s="1">
        <f t="shared" si="24"/>
        <v>1.1353057378351989</v>
      </c>
      <c r="F350" s="1">
        <v>0.88082000000000005</v>
      </c>
      <c r="G350" s="1">
        <v>72.55</v>
      </c>
      <c r="H350" s="1">
        <v>1426.28</v>
      </c>
      <c r="I350" s="1">
        <v>0.50960000000000005</v>
      </c>
      <c r="J350" s="1">
        <v>6.0316999999999998</v>
      </c>
      <c r="K350" s="1">
        <v>4.4740000000000002</v>
      </c>
      <c r="L350" s="1">
        <v>2.3439999999999999</v>
      </c>
      <c r="M350" s="1">
        <v>1.353</v>
      </c>
      <c r="N350" s="1">
        <v>1730</v>
      </c>
      <c r="O350" s="1">
        <v>389.2</v>
      </c>
      <c r="P350" s="1">
        <v>237.6</v>
      </c>
      <c r="Q350" s="1">
        <v>8.2100000000000009</v>
      </c>
      <c r="R350" s="1">
        <v>648</v>
      </c>
      <c r="S350" s="1">
        <v>21.26</v>
      </c>
      <c r="T350" s="1">
        <v>42.78</v>
      </c>
      <c r="U350" s="1">
        <v>-28</v>
      </c>
    </row>
    <row r="351" spans="1:21">
      <c r="A351" s="32">
        <v>-26</v>
      </c>
      <c r="B351" s="1">
        <v>0.14457</v>
      </c>
      <c r="C351" s="108">
        <f t="shared" si="23"/>
        <v>20.968143660000003</v>
      </c>
      <c r="D351" s="1">
        <v>672.8</v>
      </c>
      <c r="E351" s="1">
        <f t="shared" si="24"/>
        <v>1.2404793212097154</v>
      </c>
      <c r="F351" s="1">
        <v>0.80613999999999997</v>
      </c>
      <c r="G351" s="1">
        <v>81.52</v>
      </c>
      <c r="H351" s="1">
        <v>1429.21</v>
      </c>
      <c r="I351" s="1">
        <v>0.54600000000000004</v>
      </c>
      <c r="J351" s="1">
        <v>5.9988999999999999</v>
      </c>
      <c r="K351" s="1">
        <v>4.484</v>
      </c>
      <c r="L351" s="1">
        <v>2.363</v>
      </c>
      <c r="M351" s="1">
        <v>1.355</v>
      </c>
      <c r="N351" s="1">
        <v>1716</v>
      </c>
      <c r="O351" s="1">
        <v>390.2</v>
      </c>
      <c r="P351" s="1">
        <v>231.4</v>
      </c>
      <c r="Q351" s="1">
        <v>8.27</v>
      </c>
      <c r="R351" s="1">
        <v>641.5</v>
      </c>
      <c r="S351" s="1">
        <v>21.38</v>
      </c>
      <c r="T351" s="1">
        <v>42.05</v>
      </c>
      <c r="U351" s="1">
        <v>-26</v>
      </c>
    </row>
    <row r="352" spans="1:21">
      <c r="A352" s="32">
        <v>-24</v>
      </c>
      <c r="B352" s="1">
        <v>0.15864</v>
      </c>
      <c r="C352" s="108">
        <f t="shared" si="23"/>
        <v>23.008828320000003</v>
      </c>
      <c r="D352" s="1">
        <v>670.3</v>
      </c>
      <c r="E352" s="1">
        <f t="shared" si="24"/>
        <v>1.3532532207426655</v>
      </c>
      <c r="F352" s="1">
        <v>0.73895999999999995</v>
      </c>
      <c r="G352" s="1">
        <v>90.51</v>
      </c>
      <c r="H352" s="1">
        <v>1432.08</v>
      </c>
      <c r="I352" s="1">
        <v>0.58209999999999995</v>
      </c>
      <c r="J352" s="1">
        <v>5.9667000000000003</v>
      </c>
      <c r="K352" s="1">
        <v>4.4939999999999998</v>
      </c>
      <c r="L352" s="1">
        <v>2.383</v>
      </c>
      <c r="M352" s="1">
        <v>1.3580000000000001</v>
      </c>
      <c r="N352" s="1">
        <v>1702</v>
      </c>
      <c r="O352" s="1">
        <v>391.2</v>
      </c>
      <c r="P352" s="1">
        <v>225.5</v>
      </c>
      <c r="Q352" s="1">
        <v>8.33</v>
      </c>
      <c r="R352" s="1">
        <v>634.9</v>
      </c>
      <c r="S352" s="1">
        <v>21.51</v>
      </c>
      <c r="T352" s="1">
        <v>41.32</v>
      </c>
      <c r="U352" s="1">
        <v>-24</v>
      </c>
    </row>
    <row r="353" spans="1:21">
      <c r="A353" s="32">
        <v>-22</v>
      </c>
      <c r="B353" s="1">
        <v>0.17379</v>
      </c>
      <c r="C353" s="108">
        <f t="shared" si="23"/>
        <v>25.206154020000003</v>
      </c>
      <c r="D353" s="1">
        <v>667.7</v>
      </c>
      <c r="E353" s="1">
        <f t="shared" si="24"/>
        <v>1.4740566037735849</v>
      </c>
      <c r="F353" s="1">
        <v>0.6784</v>
      </c>
      <c r="G353" s="1">
        <v>99.52</v>
      </c>
      <c r="H353" s="1">
        <v>1434.91</v>
      </c>
      <c r="I353" s="1">
        <v>0.61799999999999999</v>
      </c>
      <c r="J353" s="1">
        <v>5.9351000000000003</v>
      </c>
      <c r="K353" s="1">
        <v>4.5039999999999996</v>
      </c>
      <c r="L353" s="1">
        <v>2.403</v>
      </c>
      <c r="M353" s="1">
        <v>1.36</v>
      </c>
      <c r="N353" s="1">
        <v>1687</v>
      </c>
      <c r="O353" s="1">
        <v>392.2</v>
      </c>
      <c r="P353" s="1">
        <v>219.8</v>
      </c>
      <c r="Q353" s="1">
        <v>8.39</v>
      </c>
      <c r="R353" s="1">
        <v>628.4</v>
      </c>
      <c r="S353" s="1">
        <v>21.63</v>
      </c>
      <c r="T353" s="1">
        <v>40.6</v>
      </c>
      <c r="U353" s="1">
        <v>-22</v>
      </c>
    </row>
    <row r="354" spans="1:21">
      <c r="A354" s="32">
        <v>-20</v>
      </c>
      <c r="B354" s="1">
        <v>0.19008</v>
      </c>
      <c r="C354" s="108">
        <f t="shared" si="23"/>
        <v>27.568823040000002</v>
      </c>
      <c r="D354" s="1">
        <v>665.1</v>
      </c>
      <c r="E354" s="1">
        <f t="shared" si="24"/>
        <v>1.6032578198900165</v>
      </c>
      <c r="F354" s="1">
        <v>0.62373000000000001</v>
      </c>
      <c r="G354" s="1">
        <v>108.55</v>
      </c>
      <c r="H354" s="1">
        <v>1437.68</v>
      </c>
      <c r="I354" s="1">
        <v>0.65380000000000005</v>
      </c>
      <c r="J354" s="1">
        <v>5.9040999999999997</v>
      </c>
      <c r="K354" s="1">
        <v>4.5140000000000002</v>
      </c>
      <c r="L354" s="1">
        <v>2.4249999999999998</v>
      </c>
      <c r="M354" s="1">
        <v>1.363</v>
      </c>
      <c r="N354" s="1">
        <v>1673</v>
      </c>
      <c r="O354" s="1">
        <v>393.2</v>
      </c>
      <c r="P354" s="1">
        <v>214.4</v>
      </c>
      <c r="Q354" s="1">
        <v>8.4499999999999993</v>
      </c>
      <c r="R354" s="1">
        <v>622</v>
      </c>
      <c r="S354" s="1">
        <v>21.77</v>
      </c>
      <c r="T354" s="1">
        <v>39.880000000000003</v>
      </c>
      <c r="U354" s="1">
        <v>-20</v>
      </c>
    </row>
    <row r="355" spans="1:21">
      <c r="A355" s="32">
        <v>-18</v>
      </c>
      <c r="B355" s="1">
        <v>0.20755999999999999</v>
      </c>
      <c r="C355" s="108">
        <f t="shared" si="23"/>
        <v>30.104087280000002</v>
      </c>
      <c r="D355" s="1">
        <v>662.6</v>
      </c>
      <c r="E355" s="1">
        <f t="shared" si="24"/>
        <v>1.7413108588145156</v>
      </c>
      <c r="F355" s="1">
        <v>0.57428000000000001</v>
      </c>
      <c r="G355" s="1">
        <v>117.6</v>
      </c>
      <c r="H355" s="1">
        <v>1440.39</v>
      </c>
      <c r="I355" s="1">
        <v>0.68930000000000002</v>
      </c>
      <c r="J355" s="1">
        <v>5.8735999999999997</v>
      </c>
      <c r="K355" s="1">
        <v>4.524</v>
      </c>
      <c r="L355" s="1">
        <v>2.4460000000000002</v>
      </c>
      <c r="M355" s="1">
        <v>1.365</v>
      </c>
      <c r="N355" s="1">
        <v>1659</v>
      </c>
      <c r="O355" s="1">
        <v>394.1</v>
      </c>
      <c r="P355" s="1">
        <v>209.2</v>
      </c>
      <c r="Q355" s="1">
        <v>8.51</v>
      </c>
      <c r="R355" s="1">
        <v>615.5</v>
      </c>
      <c r="S355" s="1">
        <v>21.9</v>
      </c>
      <c r="T355" s="1">
        <v>39.159999999999997</v>
      </c>
      <c r="U355" s="1">
        <v>-18</v>
      </c>
    </row>
    <row r="356" spans="1:21">
      <c r="A356" s="32">
        <v>-16</v>
      </c>
      <c r="B356" s="1">
        <v>0.2263</v>
      </c>
      <c r="C356" s="108">
        <f t="shared" si="23"/>
        <v>32.822099400000006</v>
      </c>
      <c r="D356" s="1">
        <v>660</v>
      </c>
      <c r="E356" s="1">
        <f t="shared" si="24"/>
        <v>1.8886097943303934</v>
      </c>
      <c r="F356" s="1">
        <v>0.52949000000000002</v>
      </c>
      <c r="G356" s="1">
        <v>126.67</v>
      </c>
      <c r="H356" s="1">
        <v>1443.06</v>
      </c>
      <c r="I356" s="1">
        <v>0.72460000000000002</v>
      </c>
      <c r="J356" s="1">
        <v>5.8437000000000001</v>
      </c>
      <c r="K356" s="1">
        <v>4.5339999999999998</v>
      </c>
      <c r="L356" s="1">
        <v>2.4689999999999999</v>
      </c>
      <c r="M356" s="1">
        <v>1.3680000000000001</v>
      </c>
      <c r="N356" s="1">
        <v>1645</v>
      </c>
      <c r="O356" s="1">
        <v>395</v>
      </c>
      <c r="P356" s="1">
        <v>204.2</v>
      </c>
      <c r="Q356" s="1">
        <v>8.57</v>
      </c>
      <c r="R356" s="1">
        <v>609.1</v>
      </c>
      <c r="S356" s="1">
        <v>22.05</v>
      </c>
      <c r="T356" s="1">
        <v>38.450000000000003</v>
      </c>
      <c r="U356" s="1">
        <v>-16</v>
      </c>
    </row>
    <row r="357" spans="1:21">
      <c r="A357" s="32">
        <v>-14</v>
      </c>
      <c r="B357" s="1">
        <v>0.24637000000000001</v>
      </c>
      <c r="C357" s="108">
        <f t="shared" si="23"/>
        <v>35.73301206</v>
      </c>
      <c r="D357" s="1">
        <v>657.3</v>
      </c>
      <c r="E357" s="1">
        <f t="shared" si="24"/>
        <v>2.0456172650097169</v>
      </c>
      <c r="F357" s="1">
        <v>0.48885000000000001</v>
      </c>
      <c r="G357" s="1">
        <v>135.76</v>
      </c>
      <c r="H357" s="1">
        <v>1445.66</v>
      </c>
      <c r="I357" s="1">
        <v>0.75970000000000004</v>
      </c>
      <c r="J357" s="1">
        <v>5.8143000000000002</v>
      </c>
      <c r="K357" s="1">
        <v>4.5430000000000001</v>
      </c>
      <c r="L357" s="1">
        <v>2.4929999999999999</v>
      </c>
      <c r="M357" s="1">
        <v>1.371</v>
      </c>
      <c r="N357" s="1">
        <v>1631</v>
      </c>
      <c r="O357" s="1">
        <v>395.8</v>
      </c>
      <c r="P357" s="1">
        <v>199.3</v>
      </c>
      <c r="Q357" s="1">
        <v>8.6300000000000008</v>
      </c>
      <c r="R357" s="1">
        <v>602.79999999999995</v>
      </c>
      <c r="S357" s="1">
        <v>22.19</v>
      </c>
      <c r="T357" s="1">
        <v>37.74</v>
      </c>
      <c r="U357" s="1">
        <v>-14</v>
      </c>
    </row>
    <row r="358" spans="1:21">
      <c r="A358" s="32">
        <v>-12</v>
      </c>
      <c r="B358" s="1">
        <v>0.26782</v>
      </c>
      <c r="C358" s="108">
        <f t="shared" si="23"/>
        <v>38.844077160000005</v>
      </c>
      <c r="D358" s="1">
        <v>654.70000000000005</v>
      </c>
      <c r="E358" s="1">
        <f t="shared" si="24"/>
        <v>2.2127810231899452</v>
      </c>
      <c r="F358" s="1">
        <v>0.45191999999999999</v>
      </c>
      <c r="G358" s="1">
        <v>144.88</v>
      </c>
      <c r="H358" s="1">
        <v>1448.21</v>
      </c>
      <c r="I358" s="1">
        <v>0.79459999999999997</v>
      </c>
      <c r="J358" s="1">
        <v>5.7853000000000003</v>
      </c>
      <c r="K358" s="1">
        <v>4.5529999999999999</v>
      </c>
      <c r="L358" s="1">
        <v>2.5169999999999999</v>
      </c>
      <c r="M358" s="1">
        <v>1.375</v>
      </c>
      <c r="N358" s="1">
        <v>1616</v>
      </c>
      <c r="O358" s="1">
        <v>396.7</v>
      </c>
      <c r="P358" s="1">
        <v>194.7</v>
      </c>
      <c r="Q358" s="1">
        <v>8.69</v>
      </c>
      <c r="R358" s="1">
        <v>596.4</v>
      </c>
      <c r="S358" s="1">
        <v>22.35</v>
      </c>
      <c r="T358" s="1">
        <v>37.04</v>
      </c>
      <c r="U358" s="1">
        <v>-12</v>
      </c>
    </row>
    <row r="359" spans="1:21">
      <c r="A359" s="32">
        <v>-10</v>
      </c>
      <c r="B359" s="1">
        <v>0.29071000000000002</v>
      </c>
      <c r="C359" s="108">
        <f t="shared" si="23"/>
        <v>42.163996980000007</v>
      </c>
      <c r="D359" s="1">
        <v>652.1</v>
      </c>
      <c r="E359" s="1">
        <f t="shared" si="24"/>
        <v>2.3906287353573989</v>
      </c>
      <c r="F359" s="1">
        <v>0.41830000000000001</v>
      </c>
      <c r="G359" s="1">
        <v>154.01</v>
      </c>
      <c r="H359" s="1">
        <v>1450.7</v>
      </c>
      <c r="I359" s="1">
        <v>0.82930000000000004</v>
      </c>
      <c r="J359" s="1">
        <v>5.7568999999999999</v>
      </c>
      <c r="K359" s="1">
        <v>4.5640000000000001</v>
      </c>
      <c r="L359" s="1">
        <v>2.5419999999999998</v>
      </c>
      <c r="M359" s="1">
        <v>1.3779999999999999</v>
      </c>
      <c r="N359" s="1">
        <v>1602</v>
      </c>
      <c r="O359" s="1">
        <v>397.5</v>
      </c>
      <c r="P359" s="1">
        <v>190.2</v>
      </c>
      <c r="Q359" s="1">
        <v>8.75</v>
      </c>
      <c r="R359" s="1">
        <v>590.1</v>
      </c>
      <c r="S359" s="1">
        <v>22.5</v>
      </c>
      <c r="T359" s="1">
        <v>36.340000000000003</v>
      </c>
      <c r="U359" s="1">
        <v>-10</v>
      </c>
    </row>
    <row r="360" spans="1:21">
      <c r="A360" s="32">
        <v>-8</v>
      </c>
      <c r="B360" s="1">
        <v>0.31513000000000002</v>
      </c>
      <c r="C360" s="108">
        <f t="shared" si="23"/>
        <v>45.705824940000007</v>
      </c>
      <c r="D360" s="1">
        <v>649.4</v>
      </c>
      <c r="E360" s="1">
        <f t="shared" si="24"/>
        <v>2.579513503753192</v>
      </c>
      <c r="F360" s="1">
        <v>0.38767000000000001</v>
      </c>
      <c r="G360" s="1">
        <v>163.16</v>
      </c>
      <c r="H360" s="1">
        <v>1453.14</v>
      </c>
      <c r="I360" s="1">
        <v>0.86380000000000001</v>
      </c>
      <c r="J360" s="1">
        <v>5.7289000000000003</v>
      </c>
      <c r="K360" s="1">
        <v>4.5739999999999998</v>
      </c>
      <c r="L360" s="1">
        <v>2.5680000000000001</v>
      </c>
      <c r="M360" s="1">
        <v>1.3819999999999999</v>
      </c>
      <c r="N360" s="1">
        <v>1588</v>
      </c>
      <c r="O360" s="1">
        <v>398.2</v>
      </c>
      <c r="P360" s="1">
        <v>185.9</v>
      </c>
      <c r="Q360" s="1">
        <v>8.81</v>
      </c>
      <c r="R360" s="1">
        <v>583.9</v>
      </c>
      <c r="S360" s="1">
        <v>22.67</v>
      </c>
      <c r="T360" s="1">
        <v>35.65</v>
      </c>
      <c r="U360" s="1">
        <v>-8</v>
      </c>
    </row>
    <row r="361" spans="1:21">
      <c r="A361" s="32">
        <v>-6</v>
      </c>
      <c r="B361" s="1">
        <v>0.34114</v>
      </c>
      <c r="C361" s="108">
        <f t="shared" si="23"/>
        <v>49.478263320000003</v>
      </c>
      <c r="D361" s="1">
        <v>646.70000000000005</v>
      </c>
      <c r="E361" s="1">
        <f t="shared" si="24"/>
        <v>2.7800945232137892</v>
      </c>
      <c r="F361" s="1">
        <v>0.35970000000000002</v>
      </c>
      <c r="G361" s="1">
        <v>172.34</v>
      </c>
      <c r="H361" s="1">
        <v>1455.51</v>
      </c>
      <c r="I361" s="1">
        <v>0.89810000000000001</v>
      </c>
      <c r="J361" s="1">
        <v>5.7012999999999998</v>
      </c>
      <c r="K361" s="1">
        <v>4.5839999999999996</v>
      </c>
      <c r="L361" s="1">
        <v>2.5939999999999999</v>
      </c>
      <c r="M361" s="1">
        <v>1.385</v>
      </c>
      <c r="N361" s="1">
        <v>1574</v>
      </c>
      <c r="O361" s="1">
        <v>398.9</v>
      </c>
      <c r="P361" s="1">
        <v>181.7</v>
      </c>
      <c r="Q361" s="1">
        <v>8.8699999999999992</v>
      </c>
      <c r="R361" s="1">
        <v>577.70000000000005</v>
      </c>
      <c r="S361" s="1">
        <v>22.83</v>
      </c>
      <c r="T361" s="1">
        <v>34.96</v>
      </c>
      <c r="U361" s="1">
        <v>-6</v>
      </c>
    </row>
    <row r="362" spans="1:21">
      <c r="A362" s="32">
        <v>-4</v>
      </c>
      <c r="B362" s="1">
        <v>0.36880000000000002</v>
      </c>
      <c r="C362" s="108">
        <f t="shared" si="23"/>
        <v>53.490014400000007</v>
      </c>
      <c r="D362" s="1">
        <v>644</v>
      </c>
      <c r="E362" s="1">
        <f t="shared" si="24"/>
        <v>2.99275752678518</v>
      </c>
      <c r="F362" s="1">
        <v>0.33413999999999999</v>
      </c>
      <c r="G362" s="1">
        <v>181.54</v>
      </c>
      <c r="H362" s="1">
        <v>1457.81</v>
      </c>
      <c r="I362" s="1">
        <v>0.93230000000000002</v>
      </c>
      <c r="J362" s="1">
        <v>5.6741000000000001</v>
      </c>
      <c r="K362" s="1">
        <v>4.5949999999999998</v>
      </c>
      <c r="L362" s="1">
        <v>2.6219999999999999</v>
      </c>
      <c r="M362" s="1">
        <v>1.389</v>
      </c>
      <c r="N362" s="1">
        <v>1559</v>
      </c>
      <c r="O362" s="1">
        <v>399.6</v>
      </c>
      <c r="P362" s="1">
        <v>177.7</v>
      </c>
      <c r="Q362" s="1">
        <v>8.93</v>
      </c>
      <c r="R362" s="1">
        <v>571.5</v>
      </c>
      <c r="S362" s="1">
        <v>23</v>
      </c>
      <c r="T362" s="1">
        <v>34.270000000000003</v>
      </c>
      <c r="U362" s="1">
        <v>-4</v>
      </c>
    </row>
    <row r="363" spans="1:21">
      <c r="A363" s="32">
        <v>-2</v>
      </c>
      <c r="B363" s="1">
        <v>0.39818999999999999</v>
      </c>
      <c r="C363" s="108">
        <f t="shared" si="23"/>
        <v>57.752681219999999</v>
      </c>
      <c r="D363" s="1">
        <v>641.29999999999995</v>
      </c>
      <c r="E363" s="1">
        <f t="shared" si="24"/>
        <v>3.2181244770547721</v>
      </c>
      <c r="F363" s="1">
        <v>0.31074000000000002</v>
      </c>
      <c r="G363" s="1">
        <v>190.76</v>
      </c>
      <c r="H363" s="1">
        <v>1460.06</v>
      </c>
      <c r="I363" s="1">
        <v>0.96619999999999995</v>
      </c>
      <c r="J363" s="1">
        <v>5.6474000000000002</v>
      </c>
      <c r="K363" s="1">
        <v>4.6059999999999999</v>
      </c>
      <c r="L363" s="1">
        <v>2.6509999999999998</v>
      </c>
      <c r="M363" s="1">
        <v>1.393</v>
      </c>
      <c r="N363" s="1">
        <v>1545</v>
      </c>
      <c r="O363" s="1">
        <v>400.2</v>
      </c>
      <c r="P363" s="1">
        <v>173.8</v>
      </c>
      <c r="Q363" s="1">
        <v>8.99</v>
      </c>
      <c r="R363" s="1">
        <v>565.29999999999995</v>
      </c>
      <c r="S363" s="1">
        <v>23.18</v>
      </c>
      <c r="T363" s="1">
        <v>33.590000000000003</v>
      </c>
      <c r="U363" s="1">
        <v>-2</v>
      </c>
    </row>
    <row r="364" spans="1:21">
      <c r="A364" s="32">
        <v>0</v>
      </c>
      <c r="B364" s="1">
        <v>0.42937999999999998</v>
      </c>
      <c r="C364" s="108">
        <f t="shared" si="23"/>
        <v>62.276416440000006</v>
      </c>
      <c r="D364" s="1">
        <v>638.6</v>
      </c>
      <c r="E364" s="1">
        <f t="shared" si="24"/>
        <v>3.4566194262011751</v>
      </c>
      <c r="F364" s="1">
        <v>0.2893</v>
      </c>
      <c r="G364" s="1">
        <v>200</v>
      </c>
      <c r="H364" s="1">
        <v>1462.24</v>
      </c>
      <c r="I364" s="1">
        <v>1</v>
      </c>
      <c r="J364" s="1">
        <v>5.6210000000000004</v>
      </c>
      <c r="K364" s="1">
        <v>4.617</v>
      </c>
      <c r="L364" s="1">
        <v>2.68</v>
      </c>
      <c r="M364" s="1">
        <v>1.3979999999999999</v>
      </c>
      <c r="N364" s="1">
        <v>1531</v>
      </c>
      <c r="O364" s="1">
        <v>400.8</v>
      </c>
      <c r="P364" s="1">
        <v>170.1</v>
      </c>
      <c r="Q364" s="1">
        <v>9.06</v>
      </c>
      <c r="R364" s="1">
        <v>559.20000000000005</v>
      </c>
      <c r="S364" s="1">
        <v>23.37</v>
      </c>
      <c r="T364" s="1">
        <v>32.909999999999997</v>
      </c>
      <c r="U364" s="1">
        <v>0</v>
      </c>
    </row>
    <row r="365" spans="1:21">
      <c r="A365" s="32">
        <v>2</v>
      </c>
      <c r="B365" s="1">
        <v>0.46245999999999998</v>
      </c>
      <c r="C365" s="108">
        <f t="shared" si="23"/>
        <v>67.074273480000002</v>
      </c>
      <c r="D365" s="1">
        <v>635.79999999999995</v>
      </c>
      <c r="E365" s="1">
        <f t="shared" si="24"/>
        <v>3.7089236703508637</v>
      </c>
      <c r="F365" s="1">
        <v>0.26962000000000003</v>
      </c>
      <c r="G365" s="1">
        <v>209.27</v>
      </c>
      <c r="H365" s="1">
        <v>1464.35</v>
      </c>
      <c r="I365" s="1">
        <v>1.0336000000000001</v>
      </c>
      <c r="J365" s="1">
        <v>5.5951000000000004</v>
      </c>
      <c r="K365" s="1">
        <v>4.6280000000000001</v>
      </c>
      <c r="L365" s="1">
        <v>2.71</v>
      </c>
      <c r="M365" s="1">
        <v>1.4019999999999999</v>
      </c>
      <c r="N365" s="1">
        <v>1516</v>
      </c>
      <c r="O365" s="1">
        <v>401.4</v>
      </c>
      <c r="P365" s="1">
        <v>166.5</v>
      </c>
      <c r="Q365" s="1">
        <v>9.1199999999999992</v>
      </c>
      <c r="R365" s="1">
        <v>553.1</v>
      </c>
      <c r="S365" s="1">
        <v>23.55</v>
      </c>
      <c r="T365" s="1">
        <v>32.24</v>
      </c>
      <c r="U365" s="1">
        <v>2</v>
      </c>
    </row>
    <row r="366" spans="1:21">
      <c r="A366" s="32">
        <v>4</v>
      </c>
      <c r="B366" s="1">
        <v>0.49747999999999998</v>
      </c>
      <c r="C366" s="108">
        <f t="shared" si="23"/>
        <v>72.153504240000004</v>
      </c>
      <c r="D366" s="1">
        <v>633.1</v>
      </c>
      <c r="E366" s="1">
        <f t="shared" si="24"/>
        <v>3.9756689062934845</v>
      </c>
      <c r="F366" s="1">
        <v>0.25152999999999998</v>
      </c>
      <c r="G366" s="1">
        <v>218.55</v>
      </c>
      <c r="H366" s="1">
        <v>1466.4</v>
      </c>
      <c r="I366" s="1">
        <v>1.0669999999999999</v>
      </c>
      <c r="J366" s="1">
        <v>5.5694999999999997</v>
      </c>
      <c r="K366" s="1">
        <v>4.6390000000000002</v>
      </c>
      <c r="L366" s="1">
        <v>2.742</v>
      </c>
      <c r="M366" s="1">
        <v>1.407</v>
      </c>
      <c r="N366" s="1">
        <v>1502</v>
      </c>
      <c r="O366" s="1">
        <v>401.9</v>
      </c>
      <c r="P366" s="1">
        <v>162.9</v>
      </c>
      <c r="Q366" s="1">
        <v>9.18</v>
      </c>
      <c r="R366" s="1">
        <v>547.1</v>
      </c>
      <c r="S366" s="1">
        <v>23.75</v>
      </c>
      <c r="T366" s="1">
        <v>31.57</v>
      </c>
      <c r="U366" s="1">
        <v>4</v>
      </c>
    </row>
    <row r="367" spans="1:21">
      <c r="A367" s="32">
        <v>6</v>
      </c>
      <c r="B367" s="1">
        <v>0.53452999999999995</v>
      </c>
      <c r="C367" s="108">
        <f t="shared" si="23"/>
        <v>77.527162140000002</v>
      </c>
      <c r="D367" s="1">
        <v>630.29999999999995</v>
      </c>
      <c r="E367" s="1">
        <f t="shared" si="24"/>
        <v>4.2573119332453491</v>
      </c>
      <c r="F367" s="1">
        <v>0.23488999999999999</v>
      </c>
      <c r="G367" s="1">
        <v>227.87</v>
      </c>
      <c r="H367" s="1">
        <v>1468.37</v>
      </c>
      <c r="I367" s="1">
        <v>1.1003000000000001</v>
      </c>
      <c r="J367" s="1">
        <v>5.5442</v>
      </c>
      <c r="K367" s="1">
        <v>4.6509999999999998</v>
      </c>
      <c r="L367" s="1">
        <v>2.774</v>
      </c>
      <c r="M367" s="1">
        <v>1.4119999999999999</v>
      </c>
      <c r="N367" s="1">
        <v>1487</v>
      </c>
      <c r="O367" s="1">
        <v>402.4</v>
      </c>
      <c r="P367" s="1">
        <v>159.5</v>
      </c>
      <c r="Q367" s="1">
        <v>9.24</v>
      </c>
      <c r="R367" s="1">
        <v>541.1</v>
      </c>
      <c r="S367" s="1">
        <v>23.95</v>
      </c>
      <c r="T367" s="1">
        <v>30.91</v>
      </c>
      <c r="U367" s="1">
        <v>6</v>
      </c>
    </row>
    <row r="368" spans="1:21">
      <c r="A368" s="32">
        <v>8</v>
      </c>
      <c r="B368" s="1">
        <v>0.57369999999999999</v>
      </c>
      <c r="C368" s="108">
        <f t="shared" si="23"/>
        <v>83.208300600000001</v>
      </c>
      <c r="D368" s="1">
        <v>627.5</v>
      </c>
      <c r="E368" s="1">
        <f t="shared" si="24"/>
        <v>4.5545636728001453</v>
      </c>
      <c r="F368" s="1">
        <v>0.21956000000000001</v>
      </c>
      <c r="G368" s="1">
        <v>237.2</v>
      </c>
      <c r="H368" s="1">
        <v>1470.28</v>
      </c>
      <c r="I368" s="1">
        <v>1.1334</v>
      </c>
      <c r="J368" s="1">
        <v>5.5191999999999997</v>
      </c>
      <c r="K368" s="1">
        <v>4.6630000000000003</v>
      </c>
      <c r="L368" s="1">
        <v>2.8069999999999999</v>
      </c>
      <c r="M368" s="1">
        <v>1.417</v>
      </c>
      <c r="N368" s="1">
        <v>1473</v>
      </c>
      <c r="O368" s="1">
        <v>402.8</v>
      </c>
      <c r="P368" s="1">
        <v>156.19999999999999</v>
      </c>
      <c r="Q368" s="1">
        <v>9.3000000000000007</v>
      </c>
      <c r="R368" s="1">
        <v>535.1</v>
      </c>
      <c r="S368" s="1">
        <v>24.15</v>
      </c>
      <c r="T368" s="1">
        <v>30.24</v>
      </c>
      <c r="U368" s="1">
        <v>8</v>
      </c>
    </row>
    <row r="369" spans="1:21">
      <c r="A369" s="32">
        <v>10</v>
      </c>
      <c r="B369" s="1">
        <v>0.61504999999999999</v>
      </c>
      <c r="C369" s="108">
        <f t="shared" si="23"/>
        <v>89.205621900000011</v>
      </c>
      <c r="D369" s="1">
        <v>624.6</v>
      </c>
      <c r="E369" s="1">
        <f t="shared" si="24"/>
        <v>4.8678381930584624</v>
      </c>
      <c r="F369" s="1">
        <v>0.20543</v>
      </c>
      <c r="G369" s="1">
        <v>246.57</v>
      </c>
      <c r="H369" s="1">
        <v>1472.11</v>
      </c>
      <c r="I369" s="1">
        <v>1.1664000000000001</v>
      </c>
      <c r="J369" s="1">
        <v>5.4946000000000002</v>
      </c>
      <c r="K369" s="1">
        <v>4.6760000000000002</v>
      </c>
      <c r="L369" s="1">
        <v>2.8410000000000002</v>
      </c>
      <c r="M369" s="1">
        <v>1.4219999999999999</v>
      </c>
      <c r="N369" s="1">
        <v>1458</v>
      </c>
      <c r="O369" s="1">
        <v>403.2</v>
      </c>
      <c r="P369" s="1">
        <v>153</v>
      </c>
      <c r="Q369" s="1">
        <v>9.36</v>
      </c>
      <c r="R369" s="1">
        <v>529.1</v>
      </c>
      <c r="S369" s="1">
        <v>24.37</v>
      </c>
      <c r="T369" s="1">
        <v>29.59</v>
      </c>
      <c r="U369" s="1">
        <v>10</v>
      </c>
    </row>
    <row r="370" spans="1:21">
      <c r="A370" s="32">
        <v>12</v>
      </c>
      <c r="B370" s="1">
        <v>0.65866000000000002</v>
      </c>
      <c r="C370" s="108">
        <f t="shared" si="23"/>
        <v>95.530729080000015</v>
      </c>
      <c r="D370" s="1">
        <v>621.79999999999995</v>
      </c>
      <c r="E370" s="1">
        <f t="shared" si="24"/>
        <v>5.1983157456983937</v>
      </c>
      <c r="F370" s="1">
        <v>0.19237000000000001</v>
      </c>
      <c r="G370" s="1">
        <v>255.95</v>
      </c>
      <c r="H370" s="1">
        <v>1473.88</v>
      </c>
      <c r="I370" s="1">
        <v>1.1992</v>
      </c>
      <c r="J370" s="1">
        <v>5.4702999999999999</v>
      </c>
      <c r="K370" s="1">
        <v>4.6890000000000001</v>
      </c>
      <c r="L370" s="1">
        <v>2.8769999999999998</v>
      </c>
      <c r="M370" s="1">
        <v>1.4279999999999999</v>
      </c>
      <c r="N370" s="1">
        <v>1443</v>
      </c>
      <c r="O370" s="1">
        <v>403.6</v>
      </c>
      <c r="P370" s="1">
        <v>149.9</v>
      </c>
      <c r="Q370" s="1">
        <v>9.43</v>
      </c>
      <c r="R370" s="1">
        <v>523.20000000000005</v>
      </c>
      <c r="S370" s="1">
        <v>24.58</v>
      </c>
      <c r="T370" s="1">
        <v>28.94</v>
      </c>
      <c r="U370" s="1">
        <v>12</v>
      </c>
    </row>
    <row r="371" spans="1:21">
      <c r="A371" s="32">
        <v>14</v>
      </c>
      <c r="B371" s="1">
        <v>0.70462999999999998</v>
      </c>
      <c r="C371" s="108">
        <f t="shared" si="23"/>
        <v>102.19812594000001</v>
      </c>
      <c r="D371" s="1">
        <v>618.9</v>
      </c>
      <c r="E371" s="1">
        <f t="shared" si="24"/>
        <v>5.5460041040430372</v>
      </c>
      <c r="F371" s="1">
        <v>0.18031</v>
      </c>
      <c r="G371" s="1">
        <v>265.37</v>
      </c>
      <c r="H371" s="1">
        <v>1475.56</v>
      </c>
      <c r="I371" s="1">
        <v>1.2318</v>
      </c>
      <c r="J371" s="1">
        <v>5.4462999999999999</v>
      </c>
      <c r="K371" s="1">
        <v>4.702</v>
      </c>
      <c r="L371" s="1">
        <v>2.9129999999999998</v>
      </c>
      <c r="M371" s="1">
        <v>1.4339999999999999</v>
      </c>
      <c r="N371" s="1">
        <v>1429</v>
      </c>
      <c r="O371" s="1">
        <v>403.9</v>
      </c>
      <c r="P371" s="1">
        <v>146.9</v>
      </c>
      <c r="Q371" s="1">
        <v>9.49</v>
      </c>
      <c r="R371" s="1">
        <v>517.29999999999995</v>
      </c>
      <c r="S371" s="1">
        <v>24.81</v>
      </c>
      <c r="T371" s="1">
        <v>28.29</v>
      </c>
      <c r="U371" s="1">
        <v>14</v>
      </c>
    </row>
    <row r="372" spans="1:21">
      <c r="A372" s="32">
        <v>16</v>
      </c>
      <c r="B372" s="1">
        <v>0.75302999999999998</v>
      </c>
      <c r="C372" s="108">
        <f t="shared" si="23"/>
        <v>109.21796514</v>
      </c>
      <c r="D372" s="1">
        <v>616</v>
      </c>
      <c r="E372" s="1">
        <f t="shared" si="24"/>
        <v>5.9122620314532339</v>
      </c>
      <c r="F372" s="1">
        <v>0.16914000000000001</v>
      </c>
      <c r="G372" s="1">
        <v>274.81</v>
      </c>
      <c r="H372" s="1">
        <v>1477.17</v>
      </c>
      <c r="I372" s="1">
        <v>1.2643</v>
      </c>
      <c r="J372" s="1">
        <v>5.4226000000000001</v>
      </c>
      <c r="K372" s="1">
        <v>4.7160000000000002</v>
      </c>
      <c r="L372" s="1">
        <v>2.9510000000000001</v>
      </c>
      <c r="M372" s="1">
        <v>1.44</v>
      </c>
      <c r="N372" s="1">
        <v>1414</v>
      </c>
      <c r="O372" s="1">
        <v>404.2</v>
      </c>
      <c r="P372" s="1">
        <v>144</v>
      </c>
      <c r="Q372" s="1">
        <v>9.5500000000000007</v>
      </c>
      <c r="R372" s="1">
        <v>511.5</v>
      </c>
      <c r="S372" s="1">
        <v>25.04</v>
      </c>
      <c r="T372" s="1">
        <v>27.65</v>
      </c>
      <c r="U372" s="1">
        <v>16</v>
      </c>
    </row>
    <row r="373" spans="1:21">
      <c r="A373" s="32">
        <v>18</v>
      </c>
      <c r="B373" s="1">
        <v>0.80395000000000005</v>
      </c>
      <c r="C373" s="108">
        <f t="shared" si="23"/>
        <v>116.60330010000001</v>
      </c>
      <c r="D373" s="1">
        <v>613.1</v>
      </c>
      <c r="E373" s="1">
        <f t="shared" si="24"/>
        <v>6.2976257950752572</v>
      </c>
      <c r="F373" s="1">
        <v>0.15878999999999999</v>
      </c>
      <c r="G373" s="1">
        <v>284.27999999999997</v>
      </c>
      <c r="H373" s="1">
        <v>1478.7</v>
      </c>
      <c r="I373" s="1">
        <v>1.2967</v>
      </c>
      <c r="J373" s="1">
        <v>5.3990999999999998</v>
      </c>
      <c r="K373" s="1">
        <v>4.7300000000000004</v>
      </c>
      <c r="L373" s="1">
        <v>2.99</v>
      </c>
      <c r="M373" s="1">
        <v>1.446</v>
      </c>
      <c r="N373" s="1">
        <v>1399</v>
      </c>
      <c r="O373" s="1">
        <v>404.4</v>
      </c>
      <c r="P373" s="1">
        <v>141.1</v>
      </c>
      <c r="Q373" s="1">
        <v>9.61</v>
      </c>
      <c r="R373" s="1">
        <v>505.6</v>
      </c>
      <c r="S373" s="1">
        <v>25.27</v>
      </c>
      <c r="T373" s="1">
        <v>27.01</v>
      </c>
      <c r="U373" s="1">
        <v>18</v>
      </c>
    </row>
    <row r="374" spans="1:21">
      <c r="A374" s="32">
        <v>20</v>
      </c>
      <c r="B374" s="1">
        <v>0.85748000000000002</v>
      </c>
      <c r="C374" s="108">
        <f t="shared" si="23"/>
        <v>124.36718424000001</v>
      </c>
      <c r="D374" s="1">
        <v>610.20000000000005</v>
      </c>
      <c r="E374" s="1">
        <f t="shared" si="24"/>
        <v>6.7024128686327078</v>
      </c>
      <c r="F374" s="1">
        <v>0.1492</v>
      </c>
      <c r="G374" s="1">
        <v>293.77999999999997</v>
      </c>
      <c r="H374" s="1">
        <v>1480.16</v>
      </c>
      <c r="I374" s="1">
        <v>1.3289</v>
      </c>
      <c r="J374" s="1">
        <v>5.3758999999999997</v>
      </c>
      <c r="K374" s="1">
        <v>4.7450000000000001</v>
      </c>
      <c r="L374" s="1">
        <v>3.03</v>
      </c>
      <c r="M374" s="1">
        <v>1.4530000000000001</v>
      </c>
      <c r="N374" s="1">
        <v>1384</v>
      </c>
      <c r="O374" s="1">
        <v>404.6</v>
      </c>
      <c r="P374" s="1">
        <v>138.30000000000001</v>
      </c>
      <c r="Q374" s="1">
        <v>9.68</v>
      </c>
      <c r="R374" s="1">
        <v>499.9</v>
      </c>
      <c r="S374" s="1">
        <v>25.52</v>
      </c>
      <c r="T374" s="1">
        <v>26.38</v>
      </c>
      <c r="U374" s="1">
        <v>20</v>
      </c>
    </row>
    <row r="375" spans="1:21">
      <c r="A375" s="32">
        <v>22</v>
      </c>
      <c r="B375" s="1">
        <v>0.91369</v>
      </c>
      <c r="C375" s="108">
        <f t="shared" si="23"/>
        <v>132.51977022</v>
      </c>
      <c r="D375" s="1">
        <v>607.20000000000005</v>
      </c>
      <c r="E375" s="1">
        <f t="shared" si="24"/>
        <v>7.1280918098225108</v>
      </c>
      <c r="F375" s="1">
        <v>0.14029</v>
      </c>
      <c r="G375" s="1">
        <v>303.31</v>
      </c>
      <c r="H375" s="1">
        <v>1481.53</v>
      </c>
      <c r="I375" s="1">
        <v>1.361</v>
      </c>
      <c r="J375" s="1">
        <v>5.3529</v>
      </c>
      <c r="K375" s="1">
        <v>4.76</v>
      </c>
      <c r="L375" s="1">
        <v>3.0710000000000002</v>
      </c>
      <c r="M375" s="1">
        <v>1.46</v>
      </c>
      <c r="N375" s="1">
        <v>1370</v>
      </c>
      <c r="O375" s="1">
        <v>404.8</v>
      </c>
      <c r="P375" s="1">
        <v>135.6</v>
      </c>
      <c r="Q375" s="1">
        <v>9.74</v>
      </c>
      <c r="R375" s="1">
        <v>494.1</v>
      </c>
      <c r="S375" s="1">
        <v>25.77</v>
      </c>
      <c r="T375" s="1">
        <v>25.75</v>
      </c>
      <c r="U375" s="1">
        <v>22</v>
      </c>
    </row>
    <row r="376" spans="1:21">
      <c r="A376" s="32">
        <v>24</v>
      </c>
      <c r="B376" s="1">
        <v>0.97267999999999999</v>
      </c>
      <c r="C376" s="108">
        <f t="shared" si="23"/>
        <v>141.07556184000001</v>
      </c>
      <c r="D376" s="1">
        <v>604.29999999999995</v>
      </c>
      <c r="E376" s="1">
        <f t="shared" si="24"/>
        <v>7.5751836982046825</v>
      </c>
      <c r="F376" s="1">
        <v>0.13200999999999999</v>
      </c>
      <c r="G376" s="1">
        <v>312.87</v>
      </c>
      <c r="H376" s="1">
        <v>1482.82</v>
      </c>
      <c r="I376" s="1">
        <v>1.3929</v>
      </c>
      <c r="J376" s="1">
        <v>5.3300999999999998</v>
      </c>
      <c r="K376" s="1">
        <v>4.7759999999999998</v>
      </c>
      <c r="L376" s="1">
        <v>3.113</v>
      </c>
      <c r="M376" s="1">
        <v>1.468</v>
      </c>
      <c r="N376" s="1">
        <v>1355</v>
      </c>
      <c r="O376" s="1">
        <v>404.9</v>
      </c>
      <c r="P376" s="1">
        <v>133</v>
      </c>
      <c r="Q376" s="1">
        <v>9.8000000000000007</v>
      </c>
      <c r="R376" s="1">
        <v>488.4</v>
      </c>
      <c r="S376" s="1">
        <v>26.03</v>
      </c>
      <c r="T376" s="1">
        <v>25.12</v>
      </c>
      <c r="U376" s="1">
        <v>24</v>
      </c>
    </row>
    <row r="377" spans="1:21">
      <c r="A377" s="32">
        <v>26</v>
      </c>
      <c r="B377" s="1">
        <v>1.0345</v>
      </c>
      <c r="C377" s="108">
        <f t="shared" si="23"/>
        <v>150.041811</v>
      </c>
      <c r="D377" s="1">
        <v>601.29999999999995</v>
      </c>
      <c r="E377" s="1">
        <f t="shared" si="24"/>
        <v>8.0444051162416539</v>
      </c>
      <c r="F377" s="1">
        <v>0.12431</v>
      </c>
      <c r="G377" s="1">
        <v>322.47000000000003</v>
      </c>
      <c r="H377" s="1">
        <v>1484.02</v>
      </c>
      <c r="I377" s="1">
        <v>1.4248000000000001</v>
      </c>
      <c r="J377" s="1">
        <v>5.3075999999999999</v>
      </c>
      <c r="K377" s="1">
        <v>4.7930000000000001</v>
      </c>
      <c r="L377" s="1">
        <v>3.1579999999999999</v>
      </c>
      <c r="M377" s="1">
        <v>1.4750000000000001</v>
      </c>
      <c r="N377" s="1">
        <v>1340</v>
      </c>
      <c r="O377" s="1">
        <v>404.9</v>
      </c>
      <c r="P377" s="1">
        <v>130.4</v>
      </c>
      <c r="Q377" s="1">
        <v>9.8699999999999992</v>
      </c>
      <c r="R377" s="1">
        <v>482.7</v>
      </c>
      <c r="S377" s="1">
        <v>26.29</v>
      </c>
      <c r="T377" s="1">
        <v>24.5</v>
      </c>
      <c r="U377" s="1">
        <v>26</v>
      </c>
    </row>
    <row r="378" spans="1:21">
      <c r="A378" s="32">
        <v>28</v>
      </c>
      <c r="B378" s="1">
        <v>1.0992999999999999</v>
      </c>
      <c r="C378" s="108">
        <f t="shared" si="23"/>
        <v>159.4402734</v>
      </c>
      <c r="D378" s="1">
        <v>598.20000000000005</v>
      </c>
      <c r="E378" s="1">
        <f t="shared" si="24"/>
        <v>8.5367935803312278</v>
      </c>
      <c r="F378" s="1">
        <v>0.11713999999999999</v>
      </c>
      <c r="G378" s="1">
        <v>332.09</v>
      </c>
      <c r="H378" s="1">
        <v>1485.14</v>
      </c>
      <c r="I378" s="1">
        <v>1.4564999999999999</v>
      </c>
      <c r="J378" s="1">
        <v>5.2853000000000003</v>
      </c>
      <c r="K378" s="1">
        <v>4.8099999999999996</v>
      </c>
      <c r="L378" s="1">
        <v>3.2029999999999998</v>
      </c>
      <c r="M378" s="1">
        <v>1.484</v>
      </c>
      <c r="N378" s="1">
        <v>1324</v>
      </c>
      <c r="O378" s="1">
        <v>405</v>
      </c>
      <c r="P378" s="1">
        <v>127.9</v>
      </c>
      <c r="Q378" s="1">
        <v>9.93</v>
      </c>
      <c r="R378" s="1">
        <v>477</v>
      </c>
      <c r="S378" s="1">
        <v>26.57</v>
      </c>
      <c r="T378" s="1">
        <v>23.89</v>
      </c>
      <c r="U378" s="1">
        <v>28</v>
      </c>
    </row>
    <row r="379" spans="1:21">
      <c r="A379" s="32">
        <v>30</v>
      </c>
      <c r="B379" s="1">
        <v>1.1672</v>
      </c>
      <c r="C379" s="108">
        <f t="shared" si="23"/>
        <v>169.28835360000002</v>
      </c>
      <c r="D379" s="1">
        <v>595.20000000000005</v>
      </c>
      <c r="E379" s="1">
        <f t="shared" si="24"/>
        <v>9.0530508781459353</v>
      </c>
      <c r="F379" s="1">
        <v>0.11046</v>
      </c>
      <c r="G379" s="1">
        <v>341.76</v>
      </c>
      <c r="H379" s="1">
        <v>1486.17</v>
      </c>
      <c r="I379" s="1">
        <v>1.4881</v>
      </c>
      <c r="J379" s="1">
        <v>5.2630999999999997</v>
      </c>
      <c r="K379" s="1">
        <v>4.8280000000000003</v>
      </c>
      <c r="L379" s="1">
        <v>3.25</v>
      </c>
      <c r="M379" s="1">
        <v>1.492</v>
      </c>
      <c r="N379" s="1">
        <v>1309</v>
      </c>
      <c r="O379" s="1">
        <v>404.9</v>
      </c>
      <c r="P379" s="1">
        <v>125.5</v>
      </c>
      <c r="Q379" s="1">
        <v>10</v>
      </c>
      <c r="R379" s="1">
        <v>471.4</v>
      </c>
      <c r="S379" s="1">
        <v>26.85</v>
      </c>
      <c r="T379" s="1">
        <v>23.28</v>
      </c>
      <c r="U379" s="1">
        <v>30</v>
      </c>
    </row>
    <row r="380" spans="1:21">
      <c r="A380" s="32">
        <v>32</v>
      </c>
      <c r="B380" s="1">
        <v>1.2382</v>
      </c>
      <c r="C380" s="108">
        <f t="shared" si="23"/>
        <v>179.58605160000002</v>
      </c>
      <c r="D380" s="1">
        <v>592.1</v>
      </c>
      <c r="E380" s="1">
        <f t="shared" si="24"/>
        <v>9.5950873152945704</v>
      </c>
      <c r="F380" s="1">
        <v>0.10421999999999999</v>
      </c>
      <c r="G380" s="1">
        <v>351.45</v>
      </c>
      <c r="H380" s="1">
        <v>1487.11</v>
      </c>
      <c r="I380" s="1">
        <v>1.5196000000000001</v>
      </c>
      <c r="J380" s="1">
        <v>5.2412000000000001</v>
      </c>
      <c r="K380" s="1">
        <v>4.8470000000000004</v>
      </c>
      <c r="L380" s="1">
        <v>3.2989999999999999</v>
      </c>
      <c r="M380" s="1">
        <v>1.5009999999999999</v>
      </c>
      <c r="N380" s="1">
        <v>1294</v>
      </c>
      <c r="O380" s="1">
        <v>404.8</v>
      </c>
      <c r="P380" s="1">
        <v>123.1</v>
      </c>
      <c r="Q380" s="1">
        <v>10.06</v>
      </c>
      <c r="R380" s="1">
        <v>465.7</v>
      </c>
      <c r="S380" s="1">
        <v>27.14</v>
      </c>
      <c r="T380" s="1">
        <v>22.67</v>
      </c>
      <c r="U380" s="1">
        <v>32</v>
      </c>
    </row>
    <row r="381" spans="1:21">
      <c r="A381" s="32">
        <v>34</v>
      </c>
      <c r="B381" s="1">
        <v>1.3124</v>
      </c>
      <c r="C381" s="108">
        <f t="shared" si="23"/>
        <v>190.34787120000001</v>
      </c>
      <c r="D381" s="1">
        <v>589</v>
      </c>
      <c r="E381" s="1">
        <f t="shared" si="24"/>
        <v>10.16260162601626</v>
      </c>
      <c r="F381" s="1">
        <v>9.8400000000000001E-2</v>
      </c>
      <c r="G381" s="1">
        <v>361.19</v>
      </c>
      <c r="H381" s="1">
        <v>1487.95</v>
      </c>
      <c r="I381" s="1">
        <v>1.5508999999999999</v>
      </c>
      <c r="J381" s="1">
        <v>5.2194000000000003</v>
      </c>
      <c r="K381" s="1">
        <v>4.867</v>
      </c>
      <c r="L381" s="1">
        <v>3.3490000000000002</v>
      </c>
      <c r="M381" s="1">
        <v>1.51</v>
      </c>
      <c r="N381" s="1">
        <v>1279</v>
      </c>
      <c r="O381" s="1">
        <v>404.7</v>
      </c>
      <c r="P381" s="1">
        <v>120.7</v>
      </c>
      <c r="Q381" s="1">
        <v>10.130000000000001</v>
      </c>
      <c r="R381" s="1">
        <v>460.1</v>
      </c>
      <c r="S381" s="1">
        <v>27.43</v>
      </c>
      <c r="T381" s="1">
        <v>22.07</v>
      </c>
      <c r="U381" s="1">
        <v>34</v>
      </c>
    </row>
    <row r="382" spans="1:21">
      <c r="A382" s="32">
        <v>36</v>
      </c>
      <c r="B382" s="1">
        <v>1.39</v>
      </c>
      <c r="C382" s="108">
        <f t="shared" si="23"/>
        <v>201.60282000000001</v>
      </c>
      <c r="D382" s="1">
        <v>585.79999999999995</v>
      </c>
      <c r="E382" s="1">
        <f t="shared" si="24"/>
        <v>10.757314974182444</v>
      </c>
      <c r="F382" s="1">
        <v>9.2960000000000001E-2</v>
      </c>
      <c r="G382" s="1">
        <v>370.96</v>
      </c>
      <c r="H382" s="1">
        <v>1488.7</v>
      </c>
      <c r="I382" s="1">
        <v>1.5822000000000001</v>
      </c>
      <c r="J382" s="1">
        <v>5.1978</v>
      </c>
      <c r="K382" s="1">
        <v>4.8879999999999999</v>
      </c>
      <c r="L382" s="1">
        <v>3.4009999999999998</v>
      </c>
      <c r="M382" s="1">
        <v>1.52</v>
      </c>
      <c r="N382" s="1">
        <v>1263</v>
      </c>
      <c r="O382" s="1">
        <v>404.5</v>
      </c>
      <c r="P382" s="1">
        <v>118.4</v>
      </c>
      <c r="Q382" s="1">
        <v>10.19</v>
      </c>
      <c r="R382" s="1">
        <v>454.6</v>
      </c>
      <c r="S382" s="1">
        <v>27.74</v>
      </c>
      <c r="T382" s="1">
        <v>21.47</v>
      </c>
      <c r="U382" s="1">
        <v>36</v>
      </c>
    </row>
    <row r="383" spans="1:21">
      <c r="A383" s="32">
        <v>38</v>
      </c>
      <c r="B383" s="1">
        <v>1.4709000000000001</v>
      </c>
      <c r="C383" s="108">
        <f t="shared" si="23"/>
        <v>213.33639420000003</v>
      </c>
      <c r="D383" s="1">
        <v>582.6</v>
      </c>
      <c r="E383" s="1">
        <f t="shared" si="24"/>
        <v>11.380448389666553</v>
      </c>
      <c r="F383" s="1">
        <v>8.7870000000000004E-2</v>
      </c>
      <c r="G383" s="1">
        <v>380.78</v>
      </c>
      <c r="H383" s="1">
        <v>1489.36</v>
      </c>
      <c r="I383" s="1">
        <v>1.6133999999999999</v>
      </c>
      <c r="J383" s="1">
        <v>5.1763000000000003</v>
      </c>
      <c r="K383" s="1">
        <v>4.9089999999999998</v>
      </c>
      <c r="L383" s="1">
        <v>3.4550000000000001</v>
      </c>
      <c r="M383" s="1">
        <v>1.53</v>
      </c>
      <c r="N383" s="1">
        <v>1248</v>
      </c>
      <c r="O383" s="1">
        <v>404.3</v>
      </c>
      <c r="P383" s="1">
        <v>116.2</v>
      </c>
      <c r="Q383" s="1">
        <v>10.26</v>
      </c>
      <c r="R383" s="1">
        <v>449.1</v>
      </c>
      <c r="S383" s="1">
        <v>28.05</v>
      </c>
      <c r="T383" s="1">
        <v>20.88</v>
      </c>
      <c r="U383" s="1">
        <v>38</v>
      </c>
    </row>
    <row r="384" spans="1:21">
      <c r="A384" s="32">
        <v>40</v>
      </c>
      <c r="B384" s="1">
        <v>1.5553999999999999</v>
      </c>
      <c r="C384" s="108">
        <f t="shared" si="23"/>
        <v>225.59210519999999</v>
      </c>
      <c r="D384" s="1">
        <v>579.4</v>
      </c>
      <c r="E384" s="1">
        <f t="shared" si="24"/>
        <v>12.03369434416366</v>
      </c>
      <c r="F384" s="1">
        <v>8.3099999999999993E-2</v>
      </c>
      <c r="G384" s="1">
        <v>390.64</v>
      </c>
      <c r="H384" s="1">
        <v>1489.91</v>
      </c>
      <c r="I384" s="1">
        <v>1.6446000000000001</v>
      </c>
      <c r="J384" s="1">
        <v>5.1548999999999996</v>
      </c>
      <c r="K384" s="1">
        <v>4.9320000000000004</v>
      </c>
      <c r="L384" s="1">
        <v>3.51</v>
      </c>
      <c r="M384" s="1">
        <v>1.5409999999999999</v>
      </c>
      <c r="N384" s="1">
        <v>1232</v>
      </c>
      <c r="O384" s="1">
        <v>404</v>
      </c>
      <c r="P384" s="1">
        <v>114</v>
      </c>
      <c r="Q384" s="1">
        <v>10.33</v>
      </c>
      <c r="R384" s="1">
        <v>443.5</v>
      </c>
      <c r="S384" s="1">
        <v>28.38</v>
      </c>
      <c r="T384" s="1">
        <v>20.29</v>
      </c>
      <c r="U384" s="1">
        <v>40</v>
      </c>
    </row>
    <row r="385" spans="1:21">
      <c r="A385" s="32">
        <v>42</v>
      </c>
      <c r="B385" s="1">
        <v>1.6435</v>
      </c>
      <c r="C385" s="108">
        <f t="shared" si="23"/>
        <v>238.36995300000001</v>
      </c>
      <c r="D385" s="1">
        <v>576.20000000000005</v>
      </c>
      <c r="E385" s="1">
        <f t="shared" si="24"/>
        <v>12.717792191275594</v>
      </c>
      <c r="F385" s="1">
        <v>7.8630000000000005E-2</v>
      </c>
      <c r="G385" s="1">
        <v>400.54</v>
      </c>
      <c r="H385" s="1">
        <v>1490.36</v>
      </c>
      <c r="I385" s="1">
        <v>1.6756</v>
      </c>
      <c r="J385" s="1">
        <v>5.1337000000000002</v>
      </c>
      <c r="K385" s="1">
        <v>4.9560000000000004</v>
      </c>
      <c r="L385" s="1">
        <v>3.5680000000000001</v>
      </c>
      <c r="M385" s="1">
        <v>1.5529999999999999</v>
      </c>
      <c r="N385" s="1">
        <v>1216</v>
      </c>
      <c r="O385" s="1">
        <v>403.7</v>
      </c>
      <c r="P385" s="1">
        <v>111.9</v>
      </c>
      <c r="Q385" s="1">
        <v>10.39</v>
      </c>
      <c r="R385" s="1">
        <v>438</v>
      </c>
      <c r="S385" s="1">
        <v>28.71</v>
      </c>
      <c r="T385" s="1">
        <v>19.71</v>
      </c>
      <c r="U385" s="1">
        <v>42</v>
      </c>
    </row>
    <row r="386" spans="1:21">
      <c r="A386" s="32">
        <v>44</v>
      </c>
      <c r="B386" s="1">
        <v>1.7353000000000001</v>
      </c>
      <c r="C386" s="108">
        <f t="shared" si="23"/>
        <v>251.68444140000003</v>
      </c>
      <c r="D386" s="1">
        <v>572.9</v>
      </c>
      <c r="E386" s="1">
        <f t="shared" si="24"/>
        <v>13.431833445265278</v>
      </c>
      <c r="F386" s="1">
        <v>7.4450000000000002E-2</v>
      </c>
      <c r="G386" s="1">
        <v>410.48</v>
      </c>
      <c r="H386" s="1">
        <v>1490.7</v>
      </c>
      <c r="I386" s="1">
        <v>1.7064999999999999</v>
      </c>
      <c r="J386" s="1">
        <v>5.1125999999999996</v>
      </c>
      <c r="K386" s="1">
        <v>4.9809999999999999</v>
      </c>
      <c r="L386" s="1">
        <v>3.6280000000000001</v>
      </c>
      <c r="M386" s="1">
        <v>1.5649999999999999</v>
      </c>
      <c r="N386" s="1">
        <v>1201</v>
      </c>
      <c r="O386" s="1">
        <v>403.3</v>
      </c>
      <c r="P386" s="1">
        <v>109.8</v>
      </c>
      <c r="Q386" s="1">
        <v>10.46</v>
      </c>
      <c r="R386" s="1">
        <v>432.6</v>
      </c>
      <c r="S386" s="1">
        <v>29.06</v>
      </c>
      <c r="T386" s="1">
        <v>19.13</v>
      </c>
      <c r="U386" s="1">
        <v>44</v>
      </c>
    </row>
    <row r="387" spans="1:21">
      <c r="A387" s="32">
        <v>46</v>
      </c>
      <c r="B387" s="1">
        <v>1.831</v>
      </c>
      <c r="C387" s="108">
        <f t="shared" si="23"/>
        <v>265.56457800000004</v>
      </c>
      <c r="D387" s="1">
        <v>569.6</v>
      </c>
      <c r="E387" s="1">
        <f t="shared" si="24"/>
        <v>14.180374361883153</v>
      </c>
      <c r="F387" s="1">
        <v>7.0519999999999999E-2</v>
      </c>
      <c r="G387" s="1">
        <v>420.48</v>
      </c>
      <c r="H387" s="1">
        <v>1490.94</v>
      </c>
      <c r="I387" s="1">
        <v>1.7374000000000001</v>
      </c>
      <c r="J387" s="1">
        <v>5.0914999999999999</v>
      </c>
      <c r="K387" s="1">
        <v>5.0069999999999997</v>
      </c>
      <c r="L387" s="1">
        <v>3.6909999999999998</v>
      </c>
      <c r="M387" s="1">
        <v>1.577</v>
      </c>
      <c r="N387" s="1">
        <v>1185</v>
      </c>
      <c r="O387" s="1">
        <v>402.9</v>
      </c>
      <c r="P387" s="1">
        <v>107.8</v>
      </c>
      <c r="Q387" s="1">
        <v>10.53</v>
      </c>
      <c r="R387" s="1">
        <v>427.1</v>
      </c>
      <c r="S387" s="1">
        <v>29.41</v>
      </c>
      <c r="T387" s="1">
        <v>18.559999999999999</v>
      </c>
      <c r="U387" s="1">
        <v>46</v>
      </c>
    </row>
    <row r="388" spans="1:21">
      <c r="A388" s="32">
        <v>48</v>
      </c>
      <c r="B388" s="1">
        <v>1.9305000000000001</v>
      </c>
      <c r="C388" s="108">
        <f t="shared" si="23"/>
        <v>279.99585900000005</v>
      </c>
      <c r="D388" s="1">
        <v>566.29999999999995</v>
      </c>
      <c r="E388" s="1">
        <f t="shared" si="24"/>
        <v>14.965579167913797</v>
      </c>
      <c r="F388" s="1">
        <v>6.6820000000000004E-2</v>
      </c>
      <c r="G388" s="1">
        <v>430.52</v>
      </c>
      <c r="H388" s="1">
        <v>1491.06</v>
      </c>
      <c r="I388" s="1">
        <v>1.7683</v>
      </c>
      <c r="J388" s="1">
        <v>5.0705999999999998</v>
      </c>
      <c r="K388" s="1">
        <v>5.0339999999999998</v>
      </c>
      <c r="L388" s="1">
        <v>3.7559999999999998</v>
      </c>
      <c r="M388" s="1">
        <v>1.591</v>
      </c>
      <c r="N388" s="1">
        <v>1169</v>
      </c>
      <c r="O388" s="1">
        <v>402.4</v>
      </c>
      <c r="P388" s="1">
        <v>105.8</v>
      </c>
      <c r="Q388" s="1">
        <v>10.6</v>
      </c>
      <c r="R388" s="1">
        <v>421.7</v>
      </c>
      <c r="S388" s="1">
        <v>29.78</v>
      </c>
      <c r="T388" s="1">
        <v>17.989999999999998</v>
      </c>
      <c r="U388" s="1">
        <v>48</v>
      </c>
    </row>
    <row r="389" spans="1:21">
      <c r="A389" s="32">
        <v>50</v>
      </c>
      <c r="B389" s="1">
        <v>2.0339999999999998</v>
      </c>
      <c r="C389" s="108">
        <f t="shared" si="23"/>
        <v>295.00729200000001</v>
      </c>
      <c r="D389" s="1">
        <v>562.9</v>
      </c>
      <c r="E389" s="1">
        <f t="shared" si="24"/>
        <v>15.785319652722967</v>
      </c>
      <c r="F389" s="1">
        <v>6.3350000000000004E-2</v>
      </c>
      <c r="G389" s="1">
        <v>440.62</v>
      </c>
      <c r="H389" s="1">
        <v>1491.07</v>
      </c>
      <c r="I389" s="1">
        <v>1.7989999999999999</v>
      </c>
      <c r="J389" s="1">
        <v>5.0496999999999996</v>
      </c>
      <c r="K389" s="1">
        <v>5.0640000000000001</v>
      </c>
      <c r="L389" s="1">
        <v>3.823</v>
      </c>
      <c r="M389" s="1">
        <v>1.605</v>
      </c>
      <c r="N389" s="1">
        <v>1153</v>
      </c>
      <c r="O389" s="1">
        <v>401.9</v>
      </c>
      <c r="P389" s="1">
        <v>103.8</v>
      </c>
      <c r="Q389" s="1">
        <v>10.67</v>
      </c>
      <c r="R389" s="1">
        <v>416.3</v>
      </c>
      <c r="S389" s="1">
        <v>30.16</v>
      </c>
      <c r="T389" s="1">
        <v>17.43</v>
      </c>
      <c r="U389" s="1">
        <v>50</v>
      </c>
    </row>
    <row r="390" spans="1:21">
      <c r="A390" s="32">
        <v>55</v>
      </c>
      <c r="B390" s="1">
        <v>2.3111000000000002</v>
      </c>
      <c r="C390" s="108">
        <f t="shared" si="23"/>
        <v>335.19732180000005</v>
      </c>
      <c r="D390" s="1">
        <v>554.20000000000005</v>
      </c>
      <c r="E390" s="1">
        <f t="shared" si="24"/>
        <v>18.005041411595247</v>
      </c>
      <c r="F390" s="1">
        <v>5.5539999999999999E-2</v>
      </c>
      <c r="G390" s="1">
        <v>466.1</v>
      </c>
      <c r="H390" s="1">
        <v>1490.57</v>
      </c>
      <c r="I390" s="1">
        <v>1.8757999999999999</v>
      </c>
      <c r="J390" s="1">
        <v>4.9977</v>
      </c>
      <c r="K390" s="1">
        <v>5.1429999999999998</v>
      </c>
      <c r="L390" s="1">
        <v>4.0049999999999999</v>
      </c>
      <c r="M390" s="1">
        <v>1.643</v>
      </c>
      <c r="N390" s="1">
        <v>1112</v>
      </c>
      <c r="O390" s="1">
        <v>400.3</v>
      </c>
      <c r="P390" s="1">
        <v>99</v>
      </c>
      <c r="Q390" s="1">
        <v>10.86</v>
      </c>
      <c r="R390" s="1">
        <v>402.9</v>
      </c>
      <c r="S390" s="1">
        <v>31.16</v>
      </c>
      <c r="T390" s="1">
        <v>16.04</v>
      </c>
      <c r="U390" s="1">
        <v>55</v>
      </c>
    </row>
    <row r="391" spans="1:21">
      <c r="A391" s="32">
        <v>60</v>
      </c>
      <c r="B391" s="1">
        <v>2.6156000000000001</v>
      </c>
      <c r="C391" s="108">
        <f t="shared" si="23"/>
        <v>379.36139280000003</v>
      </c>
      <c r="D391" s="1">
        <v>545.20000000000005</v>
      </c>
      <c r="E391" s="1">
        <f t="shared" si="24"/>
        <v>20.491803278688522</v>
      </c>
      <c r="F391" s="1">
        <v>4.8800000000000003E-2</v>
      </c>
      <c r="G391" s="1">
        <v>491.97</v>
      </c>
      <c r="H391" s="1">
        <v>1489.27</v>
      </c>
      <c r="I391" s="1">
        <v>1.9522999999999999</v>
      </c>
      <c r="J391" s="1">
        <v>4.9458000000000002</v>
      </c>
      <c r="K391" s="1">
        <v>5.2350000000000003</v>
      </c>
      <c r="L391" s="1">
        <v>4.2080000000000002</v>
      </c>
      <c r="M391" s="1">
        <v>1.6870000000000001</v>
      </c>
      <c r="N391" s="1">
        <v>1070</v>
      </c>
      <c r="O391" s="1">
        <v>398.3</v>
      </c>
      <c r="P391" s="1">
        <v>94.5</v>
      </c>
      <c r="Q391" s="1">
        <v>11.05</v>
      </c>
      <c r="R391" s="1">
        <v>389.6</v>
      </c>
      <c r="S391" s="1">
        <v>32.26</v>
      </c>
      <c r="T391" s="1">
        <v>14.69</v>
      </c>
      <c r="U391" s="1">
        <v>60</v>
      </c>
    </row>
    <row r="392" spans="1:21">
      <c r="A392" s="32">
        <v>65</v>
      </c>
      <c r="B392" s="1">
        <v>2.9491000000000001</v>
      </c>
      <c r="C392" s="108">
        <f t="shared" si="23"/>
        <v>427.73156580000006</v>
      </c>
      <c r="D392" s="1">
        <v>536</v>
      </c>
      <c r="E392" s="1">
        <f t="shared" si="24"/>
        <v>23.277467411545626</v>
      </c>
      <c r="F392" s="1">
        <v>4.2959999999999998E-2</v>
      </c>
      <c r="G392" s="1">
        <v>518.26</v>
      </c>
      <c r="H392" s="1">
        <v>1487.09</v>
      </c>
      <c r="I392" s="1">
        <v>2.0287999999999999</v>
      </c>
      <c r="J392" s="1">
        <v>4.8939000000000004</v>
      </c>
      <c r="K392" s="1">
        <v>5.3410000000000002</v>
      </c>
      <c r="L392" s="1">
        <v>4.4379999999999997</v>
      </c>
      <c r="M392" s="1">
        <v>1.7390000000000001</v>
      </c>
      <c r="N392" s="1">
        <v>1028</v>
      </c>
      <c r="O392" s="1">
        <v>396</v>
      </c>
      <c r="P392" s="1">
        <v>90.1</v>
      </c>
      <c r="Q392" s="1">
        <v>11.25</v>
      </c>
      <c r="R392" s="1">
        <v>376.4</v>
      </c>
      <c r="S392" s="1">
        <v>33.47</v>
      </c>
      <c r="T392" s="1">
        <v>13.37</v>
      </c>
      <c r="U392" s="1">
        <v>65</v>
      </c>
    </row>
    <row r="393" spans="1:21">
      <c r="A393" s="32">
        <v>70</v>
      </c>
      <c r="B393" s="1">
        <v>3.3134999999999999</v>
      </c>
      <c r="C393" s="108">
        <f t="shared" si="23"/>
        <v>480.58341300000001</v>
      </c>
      <c r="D393" s="1">
        <v>526.29999999999995</v>
      </c>
      <c r="E393" s="1">
        <f t="shared" si="24"/>
        <v>26.406126221283337</v>
      </c>
      <c r="F393" s="1">
        <v>3.7870000000000001E-2</v>
      </c>
      <c r="G393" s="1">
        <v>545.04</v>
      </c>
      <c r="H393" s="1">
        <v>1483.94</v>
      </c>
      <c r="I393" s="1">
        <v>2.1053999999999999</v>
      </c>
      <c r="J393" s="1">
        <v>4.8414999999999999</v>
      </c>
      <c r="K393" s="1">
        <v>5.4649999999999999</v>
      </c>
      <c r="L393" s="1">
        <v>4.6989999999999998</v>
      </c>
      <c r="M393" s="1">
        <v>1.7989999999999999</v>
      </c>
      <c r="N393" s="1">
        <v>984</v>
      </c>
      <c r="O393" s="1">
        <v>393.3</v>
      </c>
      <c r="P393" s="1">
        <v>85.9</v>
      </c>
      <c r="Q393" s="1">
        <v>11.47</v>
      </c>
      <c r="R393" s="1">
        <v>363.2</v>
      </c>
      <c r="S393" s="1">
        <v>34.799999999999997</v>
      </c>
      <c r="T393" s="1">
        <v>12.08</v>
      </c>
      <c r="U393" s="1">
        <v>70</v>
      </c>
    </row>
    <row r="394" spans="1:21">
      <c r="A394" s="32">
        <v>75</v>
      </c>
      <c r="B394" s="1">
        <v>3.7105000000000001</v>
      </c>
      <c r="C394" s="108">
        <f t="shared" si="23"/>
        <v>538.16349900000012</v>
      </c>
      <c r="D394" s="1">
        <v>516.20000000000005</v>
      </c>
      <c r="E394" s="1">
        <f t="shared" si="24"/>
        <v>29.922202274087375</v>
      </c>
      <c r="F394" s="1">
        <v>3.3419999999999998E-2</v>
      </c>
      <c r="G394" s="1">
        <v>572.37</v>
      </c>
      <c r="H394" s="1">
        <v>1479.72</v>
      </c>
      <c r="I394" s="1">
        <v>2.1823000000000001</v>
      </c>
      <c r="J394" s="1">
        <v>4.7885</v>
      </c>
      <c r="K394" s="1">
        <v>5.61</v>
      </c>
      <c r="L394" s="1">
        <v>5.0010000000000003</v>
      </c>
      <c r="M394" s="1">
        <v>1.87</v>
      </c>
      <c r="N394" s="1">
        <v>940</v>
      </c>
      <c r="O394" s="1">
        <v>390.1</v>
      </c>
      <c r="P394" s="1">
        <v>81.900000000000006</v>
      </c>
      <c r="Q394" s="1">
        <v>11.7</v>
      </c>
      <c r="R394" s="1">
        <v>350.2</v>
      </c>
      <c r="S394" s="1">
        <v>36.299999999999997</v>
      </c>
      <c r="T394" s="1">
        <v>10.83</v>
      </c>
      <c r="U394" s="1">
        <v>75</v>
      </c>
    </row>
    <row r="395" spans="1:21">
      <c r="A395" s="32">
        <v>80</v>
      </c>
      <c r="B395" s="1">
        <v>4.1420000000000003</v>
      </c>
      <c r="C395" s="108">
        <f t="shared" ref="C395:C458" si="25">B395*145.038</f>
        <v>600.74739600000009</v>
      </c>
      <c r="D395" s="1">
        <v>505.7</v>
      </c>
      <c r="E395" s="1">
        <f t="shared" ref="E395:E458" si="26">1/F395</f>
        <v>33.886818027787186</v>
      </c>
      <c r="F395" s="1">
        <v>2.9510000000000002E-2</v>
      </c>
      <c r="G395" s="1">
        <v>600.34</v>
      </c>
      <c r="H395" s="1">
        <v>1474.31</v>
      </c>
      <c r="I395" s="1">
        <v>2.2595999999999998</v>
      </c>
      <c r="J395" s="1">
        <v>4.7343999999999999</v>
      </c>
      <c r="K395" s="1">
        <v>5.7839999999999998</v>
      </c>
      <c r="L395" s="1">
        <v>5.3550000000000004</v>
      </c>
      <c r="M395" s="1">
        <v>1.9550000000000001</v>
      </c>
      <c r="N395" s="1">
        <v>895</v>
      </c>
      <c r="O395" s="1">
        <v>386.5</v>
      </c>
      <c r="P395" s="1">
        <v>78</v>
      </c>
      <c r="Q395" s="1">
        <v>11.95</v>
      </c>
      <c r="R395" s="1">
        <v>337.1</v>
      </c>
      <c r="S395" s="1">
        <v>38</v>
      </c>
      <c r="T395" s="1">
        <v>9.61</v>
      </c>
      <c r="U395" s="1">
        <v>80</v>
      </c>
    </row>
    <row r="396" spans="1:21">
      <c r="A396" s="32">
        <v>85</v>
      </c>
      <c r="B396" s="1">
        <v>4.6100000000000003</v>
      </c>
      <c r="C396" s="108">
        <f t="shared" si="25"/>
        <v>668.62518000000011</v>
      </c>
      <c r="D396" s="1">
        <v>494.5</v>
      </c>
      <c r="E396" s="1">
        <f t="shared" si="26"/>
        <v>38.372985418265543</v>
      </c>
      <c r="F396" s="1">
        <v>2.606E-2</v>
      </c>
      <c r="G396" s="1">
        <v>629.04</v>
      </c>
      <c r="H396" s="1">
        <v>1467.53</v>
      </c>
      <c r="I396" s="1">
        <v>2.3376999999999999</v>
      </c>
      <c r="J396" s="1">
        <v>4.6788999999999996</v>
      </c>
      <c r="K396" s="1">
        <v>5.9930000000000003</v>
      </c>
      <c r="L396" s="1">
        <v>5.7770000000000001</v>
      </c>
      <c r="M396" s="1">
        <v>2.0579999999999998</v>
      </c>
      <c r="N396" s="1">
        <v>848</v>
      </c>
      <c r="O396" s="1">
        <v>382.5</v>
      </c>
      <c r="P396" s="1">
        <v>74.2</v>
      </c>
      <c r="Q396" s="1">
        <v>12.23</v>
      </c>
      <c r="R396" s="1">
        <v>324.10000000000002</v>
      </c>
      <c r="S396" s="1">
        <v>39.950000000000003</v>
      </c>
      <c r="T396" s="1">
        <v>8.44</v>
      </c>
      <c r="U396" s="1">
        <v>85</v>
      </c>
    </row>
    <row r="397" spans="1:21">
      <c r="A397" s="32">
        <v>90</v>
      </c>
      <c r="B397" s="1">
        <v>5.1166999999999998</v>
      </c>
      <c r="C397" s="108">
        <f t="shared" si="25"/>
        <v>742.11593460000006</v>
      </c>
      <c r="D397" s="1">
        <v>482.8</v>
      </c>
      <c r="E397" s="1">
        <f t="shared" si="26"/>
        <v>43.478260869565219</v>
      </c>
      <c r="F397" s="1">
        <v>2.3E-2</v>
      </c>
      <c r="G397" s="1">
        <v>658.61</v>
      </c>
      <c r="H397" s="1">
        <v>1459.19</v>
      </c>
      <c r="I397" s="1">
        <v>2.4167999999999998</v>
      </c>
      <c r="J397" s="1">
        <v>4.6212999999999997</v>
      </c>
      <c r="K397" s="1">
        <v>6.25</v>
      </c>
      <c r="L397" s="1">
        <v>6.2910000000000004</v>
      </c>
      <c r="M397" s="1">
        <v>2.1869999999999998</v>
      </c>
      <c r="N397" s="1">
        <v>800</v>
      </c>
      <c r="O397" s="1">
        <v>377.9</v>
      </c>
      <c r="P397" s="1">
        <v>70.5</v>
      </c>
      <c r="Q397" s="1">
        <v>12.55</v>
      </c>
      <c r="R397" s="1">
        <v>311</v>
      </c>
      <c r="S397" s="1">
        <v>42.24</v>
      </c>
      <c r="T397" s="1">
        <v>7.3</v>
      </c>
      <c r="U397" s="1">
        <v>90</v>
      </c>
    </row>
    <row r="398" spans="1:21">
      <c r="A398" s="32">
        <v>95</v>
      </c>
      <c r="B398" s="1">
        <v>5.6642999999999999</v>
      </c>
      <c r="C398" s="108">
        <f t="shared" si="25"/>
        <v>821.53874340000004</v>
      </c>
      <c r="D398" s="1">
        <v>470.2</v>
      </c>
      <c r="E398" s="1">
        <f t="shared" si="26"/>
        <v>49.333991119881595</v>
      </c>
      <c r="F398" s="1">
        <v>2.027E-2</v>
      </c>
      <c r="G398" s="1">
        <v>689.19</v>
      </c>
      <c r="H398" s="1">
        <v>1449.01</v>
      </c>
      <c r="I398" s="1">
        <v>2.4973000000000001</v>
      </c>
      <c r="J398" s="1">
        <v>4.5612000000000004</v>
      </c>
      <c r="K398" s="1">
        <v>6.5730000000000004</v>
      </c>
      <c r="L398" s="1">
        <v>6.9329999999999998</v>
      </c>
      <c r="M398" s="1">
        <v>2.3490000000000002</v>
      </c>
      <c r="N398" s="1">
        <v>751</v>
      </c>
      <c r="O398" s="1">
        <v>372.7</v>
      </c>
      <c r="P398" s="1">
        <v>66.8</v>
      </c>
      <c r="Q398" s="1">
        <v>12.91</v>
      </c>
      <c r="R398" s="1">
        <v>297.89999999999998</v>
      </c>
      <c r="S398" s="1">
        <v>44.99</v>
      </c>
      <c r="T398" s="1">
        <v>6.2</v>
      </c>
      <c r="U398" s="1">
        <v>95</v>
      </c>
    </row>
    <row r="399" spans="1:21">
      <c r="A399" s="32">
        <v>100</v>
      </c>
      <c r="B399" s="1">
        <v>6.2553000000000001</v>
      </c>
      <c r="C399" s="108">
        <f t="shared" si="25"/>
        <v>907.25620140000012</v>
      </c>
      <c r="D399" s="1">
        <v>456.6</v>
      </c>
      <c r="E399" s="1">
        <f t="shared" si="26"/>
        <v>56.116722783389456</v>
      </c>
      <c r="F399" s="1">
        <v>1.7819999999999999E-2</v>
      </c>
      <c r="G399" s="1">
        <v>721</v>
      </c>
      <c r="H399" s="1">
        <v>1436.63</v>
      </c>
      <c r="I399" s="1">
        <v>2.5796999999999999</v>
      </c>
      <c r="J399" s="1">
        <v>4.4974999999999996</v>
      </c>
      <c r="K399" s="1">
        <v>6.9909999999999997</v>
      </c>
      <c r="L399" s="1">
        <v>7.7619999999999996</v>
      </c>
      <c r="M399" s="1">
        <v>2.5619999999999998</v>
      </c>
      <c r="N399" s="1">
        <v>701</v>
      </c>
      <c r="O399" s="1">
        <v>367</v>
      </c>
      <c r="P399" s="1">
        <v>63.2</v>
      </c>
      <c r="Q399" s="1">
        <v>13.32</v>
      </c>
      <c r="R399" s="1">
        <v>284.8</v>
      </c>
      <c r="S399" s="1">
        <v>48.36</v>
      </c>
      <c r="T399" s="1">
        <v>5.15</v>
      </c>
      <c r="U399" s="1">
        <v>100</v>
      </c>
    </row>
    <row r="400" spans="1:21">
      <c r="A400" s="32">
        <v>105</v>
      </c>
      <c r="B400" s="1">
        <v>6.8922999999999996</v>
      </c>
      <c r="C400" s="108">
        <f t="shared" si="25"/>
        <v>999.64540740000007</v>
      </c>
      <c r="D400" s="1">
        <v>441.9</v>
      </c>
      <c r="E400" s="1">
        <f t="shared" si="26"/>
        <v>64.061499039077518</v>
      </c>
      <c r="F400" s="1">
        <v>1.5610000000000001E-2</v>
      </c>
      <c r="G400" s="1">
        <v>754.35</v>
      </c>
      <c r="H400" s="1">
        <v>1421.57</v>
      </c>
      <c r="I400" s="1">
        <v>2.6646999999999998</v>
      </c>
      <c r="J400" s="1">
        <v>4.4291</v>
      </c>
      <c r="K400" s="1">
        <v>7.5549999999999997</v>
      </c>
      <c r="L400" s="1">
        <v>8.8770000000000007</v>
      </c>
      <c r="M400" s="1">
        <v>2.851</v>
      </c>
      <c r="N400" s="1">
        <v>649</v>
      </c>
      <c r="O400" s="1">
        <v>360.5</v>
      </c>
      <c r="P400" s="1">
        <v>59.6</v>
      </c>
      <c r="Q400" s="1">
        <v>13.82</v>
      </c>
      <c r="R400" s="1">
        <v>271.5</v>
      </c>
      <c r="S400" s="1">
        <v>52.65</v>
      </c>
      <c r="T400" s="1">
        <v>4.1500000000000004</v>
      </c>
      <c r="U400" s="1">
        <v>105</v>
      </c>
    </row>
    <row r="401" spans="1:21">
      <c r="A401" s="32">
        <v>110</v>
      </c>
      <c r="B401" s="1">
        <v>7.5782999999999996</v>
      </c>
      <c r="C401" s="108">
        <f t="shared" si="25"/>
        <v>1099.1414754</v>
      </c>
      <c r="D401" s="1">
        <v>425.6</v>
      </c>
      <c r="E401" s="1">
        <f t="shared" si="26"/>
        <v>73.529411764705884</v>
      </c>
      <c r="F401" s="1">
        <v>1.3599999999999999E-2</v>
      </c>
      <c r="G401" s="1">
        <v>789.68</v>
      </c>
      <c r="H401" s="1">
        <v>1403.08</v>
      </c>
      <c r="I401" s="1">
        <v>2.7532999999999999</v>
      </c>
      <c r="J401" s="1">
        <v>4.3541999999999996</v>
      </c>
      <c r="K401" s="1">
        <v>8.36</v>
      </c>
      <c r="L401" s="1">
        <v>10.46</v>
      </c>
      <c r="M401" s="1">
        <v>3.26</v>
      </c>
      <c r="N401" s="1">
        <v>594</v>
      </c>
      <c r="O401" s="1">
        <v>353.3</v>
      </c>
      <c r="P401" s="1">
        <v>56</v>
      </c>
      <c r="Q401" s="1">
        <v>14.42</v>
      </c>
      <c r="R401" s="1">
        <v>258.10000000000002</v>
      </c>
      <c r="S401" s="1">
        <v>58.33</v>
      </c>
      <c r="T401" s="1">
        <v>3.2</v>
      </c>
      <c r="U401" s="1">
        <v>110</v>
      </c>
    </row>
    <row r="402" spans="1:21">
      <c r="A402" s="32">
        <v>115</v>
      </c>
      <c r="B402" s="1">
        <v>8.3170000000000002</v>
      </c>
      <c r="C402" s="108">
        <f t="shared" si="25"/>
        <v>1206.2810460000001</v>
      </c>
      <c r="D402" s="1">
        <v>407.2</v>
      </c>
      <c r="E402" s="1">
        <f t="shared" si="26"/>
        <v>85.178875638841561</v>
      </c>
      <c r="F402" s="1">
        <v>1.174E-2</v>
      </c>
      <c r="G402" s="1">
        <v>827.74</v>
      </c>
      <c r="H402" s="1">
        <v>1379.99</v>
      </c>
      <c r="I402" s="1">
        <v>2.8473999999999999</v>
      </c>
      <c r="J402" s="1">
        <v>4.2702</v>
      </c>
      <c r="K402" s="1">
        <v>9.6300000000000008</v>
      </c>
      <c r="L402" s="1">
        <v>12.91</v>
      </c>
      <c r="M402" s="1">
        <v>3.91</v>
      </c>
      <c r="N402" s="1">
        <v>538</v>
      </c>
      <c r="O402" s="1">
        <v>345</v>
      </c>
      <c r="P402" s="1">
        <v>52.3</v>
      </c>
      <c r="Q402" s="1">
        <v>15.19</v>
      </c>
      <c r="R402" s="1">
        <v>244.6</v>
      </c>
      <c r="S402" s="1">
        <v>66.28</v>
      </c>
      <c r="T402" s="1">
        <v>2.31</v>
      </c>
      <c r="U402" s="1">
        <v>115</v>
      </c>
    </row>
    <row r="403" spans="1:21">
      <c r="A403" s="32">
        <v>120</v>
      </c>
      <c r="B403" s="1">
        <v>9.1125000000000007</v>
      </c>
      <c r="C403" s="108">
        <f t="shared" si="25"/>
        <v>1321.6587750000001</v>
      </c>
      <c r="D403" s="1">
        <v>385.5</v>
      </c>
      <c r="E403" s="1">
        <f t="shared" si="26"/>
        <v>100.10010010010009</v>
      </c>
      <c r="F403" s="1">
        <v>9.9900000000000006E-3</v>
      </c>
      <c r="G403" s="1">
        <v>869.92</v>
      </c>
      <c r="H403" s="1">
        <v>1350.23</v>
      </c>
      <c r="I403" s="1">
        <v>2.9502000000000002</v>
      </c>
      <c r="J403" s="1">
        <v>4.1718999999999999</v>
      </c>
      <c r="K403" s="1">
        <v>11.94</v>
      </c>
      <c r="L403" s="1">
        <v>17.21</v>
      </c>
      <c r="M403" s="1">
        <v>5.04</v>
      </c>
      <c r="N403" s="1">
        <v>477</v>
      </c>
      <c r="O403" s="1">
        <v>335.4</v>
      </c>
      <c r="P403" s="1">
        <v>48.3</v>
      </c>
      <c r="Q403" s="1">
        <v>16.21</v>
      </c>
      <c r="R403" s="1">
        <v>231.2</v>
      </c>
      <c r="S403" s="1">
        <v>78.400000000000006</v>
      </c>
      <c r="T403" s="1">
        <v>1.5</v>
      </c>
      <c r="U403" s="1">
        <v>120</v>
      </c>
    </row>
    <row r="404" spans="1:21">
      <c r="A404" s="32">
        <v>125</v>
      </c>
      <c r="B404" s="1">
        <v>9.9700199999999999</v>
      </c>
      <c r="C404" s="108">
        <f t="shared" si="25"/>
        <v>1446.03176076</v>
      </c>
      <c r="D404" s="1">
        <v>357.8</v>
      </c>
      <c r="E404" s="1">
        <f t="shared" si="26"/>
        <v>120.7729468599034</v>
      </c>
      <c r="F404" s="1">
        <v>8.2799999999999992E-3</v>
      </c>
      <c r="G404" s="1">
        <v>919.68</v>
      </c>
      <c r="H404" s="1">
        <v>1309.1199999999999</v>
      </c>
      <c r="I404" s="1">
        <v>3.0701999999999998</v>
      </c>
      <c r="J404" s="1">
        <v>4.0483000000000002</v>
      </c>
      <c r="K404" s="1">
        <v>17.66</v>
      </c>
      <c r="L404" s="1">
        <v>27</v>
      </c>
      <c r="M404" s="1">
        <v>7.62</v>
      </c>
      <c r="N404" s="1">
        <v>411</v>
      </c>
      <c r="O404" s="1">
        <v>323.60000000000002</v>
      </c>
      <c r="P404" s="1">
        <v>43.8</v>
      </c>
      <c r="Q404" s="1">
        <v>17.73</v>
      </c>
      <c r="R404" s="1">
        <v>219.1</v>
      </c>
      <c r="S404" s="1">
        <v>100.01</v>
      </c>
      <c r="T404" s="1">
        <v>0.77</v>
      </c>
      <c r="U404" s="1">
        <v>125</v>
      </c>
    </row>
    <row r="405" spans="1:21">
      <c r="A405" s="32">
        <v>130</v>
      </c>
      <c r="B405" s="1">
        <v>10.8977</v>
      </c>
      <c r="C405" s="108">
        <f t="shared" si="25"/>
        <v>1580.5806126000002</v>
      </c>
      <c r="D405" s="1">
        <v>312.3</v>
      </c>
      <c r="E405" s="1">
        <f t="shared" si="26"/>
        <v>156.73981191222569</v>
      </c>
      <c r="F405" s="1">
        <v>6.3800000000000003E-3</v>
      </c>
      <c r="G405" s="1">
        <v>992.02</v>
      </c>
      <c r="H405" s="1">
        <v>1239.32</v>
      </c>
      <c r="I405" s="1">
        <v>3.2437</v>
      </c>
      <c r="J405" s="1">
        <v>3.8571</v>
      </c>
      <c r="K405" s="1">
        <v>54.21</v>
      </c>
      <c r="L405" s="1">
        <v>76.489999999999995</v>
      </c>
      <c r="M405" s="1">
        <v>20.66</v>
      </c>
      <c r="N405" s="1">
        <v>334</v>
      </c>
      <c r="O405" s="1">
        <v>306.60000000000002</v>
      </c>
      <c r="P405" s="1">
        <v>37.299999999999997</v>
      </c>
      <c r="Q405" s="1">
        <v>20.63</v>
      </c>
      <c r="R405" s="1">
        <v>221.9</v>
      </c>
      <c r="S405" s="1">
        <v>160.38999999999999</v>
      </c>
      <c r="T405" s="1">
        <v>0.18</v>
      </c>
      <c r="U405" s="1">
        <v>130</v>
      </c>
    </row>
    <row r="406" spans="1:21">
      <c r="A406" s="32">
        <v>132.25</v>
      </c>
      <c r="B406" s="1">
        <v>11.333</v>
      </c>
      <c r="C406" s="108">
        <f t="shared" si="25"/>
        <v>1643.7156540000001</v>
      </c>
      <c r="D406" s="1">
        <v>225</v>
      </c>
      <c r="E406" s="1">
        <f t="shared" si="26"/>
        <v>225.22522522522522</v>
      </c>
      <c r="F406" s="1">
        <v>4.4400000000000004E-3</v>
      </c>
      <c r="G406" s="1">
        <v>1119.22</v>
      </c>
      <c r="H406" s="1">
        <v>1119.22</v>
      </c>
      <c r="I406" s="1">
        <v>3.5541999999999998</v>
      </c>
      <c r="J406" s="1">
        <v>3.5541999999999998</v>
      </c>
      <c r="K406" s="1" t="s">
        <v>310</v>
      </c>
      <c r="L406" s="1" t="s">
        <v>310</v>
      </c>
      <c r="M406" s="1" t="s">
        <v>310</v>
      </c>
      <c r="N406" s="1">
        <v>0</v>
      </c>
      <c r="O406" s="1">
        <v>0</v>
      </c>
      <c r="P406" s="1" t="s">
        <v>311</v>
      </c>
      <c r="Q406" s="1" t="s">
        <v>311</v>
      </c>
      <c r="R406" s="1" t="s">
        <v>310</v>
      </c>
      <c r="S406" s="1" t="s">
        <v>310</v>
      </c>
      <c r="T406" s="1">
        <v>0</v>
      </c>
      <c r="U406" s="1">
        <v>132.25</v>
      </c>
    </row>
    <row r="407" spans="1:21">
      <c r="A407" s="1"/>
      <c r="B407" s="1"/>
      <c r="C407" s="108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>
      <c r="A408" s="1"/>
      <c r="B408" s="1"/>
      <c r="C408" s="108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>
      <c r="A409" s="1"/>
      <c r="B409" s="1"/>
      <c r="C409" s="108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>
      <c r="A410" s="1"/>
      <c r="B410" s="1"/>
      <c r="C410" s="108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>
      <c r="A411" s="1"/>
      <c r="B411" s="1"/>
      <c r="C411" s="108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>
      <c r="A412" s="109" t="s">
        <v>312</v>
      </c>
      <c r="B412" s="110" t="s">
        <v>313</v>
      </c>
      <c r="C412" s="110" t="s">
        <v>331</v>
      </c>
      <c r="D412" s="110" t="s">
        <v>314</v>
      </c>
      <c r="E412" s="110" t="s">
        <v>315</v>
      </c>
      <c r="F412" s="110" t="s">
        <v>332</v>
      </c>
      <c r="G412" s="110" t="s">
        <v>316</v>
      </c>
      <c r="H412" s="110" t="s">
        <v>317</v>
      </c>
      <c r="I412" s="110" t="s">
        <v>318</v>
      </c>
      <c r="J412" s="110" t="s">
        <v>319</v>
      </c>
      <c r="K412" s="110" t="s">
        <v>320</v>
      </c>
      <c r="L412" s="110" t="s">
        <v>321</v>
      </c>
      <c r="M412" s="111" t="s">
        <v>322</v>
      </c>
      <c r="N412" s="110" t="s">
        <v>323</v>
      </c>
      <c r="O412" s="110" t="s">
        <v>324</v>
      </c>
      <c r="P412" s="110" t="s">
        <v>325</v>
      </c>
      <c r="Q412" s="110" t="s">
        <v>326</v>
      </c>
      <c r="R412" s="110" t="s">
        <v>327</v>
      </c>
      <c r="S412" s="110" t="s">
        <v>328</v>
      </c>
      <c r="T412" s="110" t="s">
        <v>329</v>
      </c>
      <c r="U412" s="112" t="s">
        <v>466</v>
      </c>
    </row>
    <row r="413" spans="1:21">
      <c r="A413" s="32">
        <v>0.01</v>
      </c>
      <c r="B413" s="1">
        <v>6.0999999999999997E-4</v>
      </c>
      <c r="C413" s="108">
        <f t="shared" si="25"/>
        <v>8.8473179999999998E-2</v>
      </c>
      <c r="D413" s="1">
        <v>999.8</v>
      </c>
      <c r="E413" s="1">
        <f t="shared" si="26"/>
        <v>4.8546045924559439E-3</v>
      </c>
      <c r="F413" s="1">
        <v>205.99</v>
      </c>
      <c r="G413" s="1">
        <v>0</v>
      </c>
      <c r="H413" s="1">
        <v>2500.92</v>
      </c>
      <c r="I413" s="1">
        <v>0</v>
      </c>
      <c r="J413" s="1">
        <v>9.1555</v>
      </c>
      <c r="K413" s="1">
        <v>4.22</v>
      </c>
      <c r="L413" s="1">
        <v>1.8839999999999999</v>
      </c>
      <c r="M413" s="1">
        <v>1.329</v>
      </c>
      <c r="N413" s="1">
        <v>1402</v>
      </c>
      <c r="O413" s="1">
        <v>409</v>
      </c>
      <c r="P413" s="1">
        <v>1791.2</v>
      </c>
      <c r="Q413" s="1">
        <v>9.2200000000000006</v>
      </c>
      <c r="R413" s="1">
        <v>561</v>
      </c>
      <c r="S413" s="1">
        <v>17.07</v>
      </c>
      <c r="T413" s="1">
        <v>75.650000000000006</v>
      </c>
      <c r="U413" s="1">
        <v>0.01</v>
      </c>
    </row>
    <row r="414" spans="1:21">
      <c r="A414" s="32">
        <v>5</v>
      </c>
      <c r="B414" s="1">
        <v>8.7000000000000001E-4</v>
      </c>
      <c r="C414" s="108">
        <f t="shared" si="25"/>
        <v>0.12618306000000001</v>
      </c>
      <c r="D414" s="1">
        <v>999.9</v>
      </c>
      <c r="E414" s="1">
        <f t="shared" si="26"/>
        <v>6.8022583497721247E-3</v>
      </c>
      <c r="F414" s="1">
        <v>147.01</v>
      </c>
      <c r="G414" s="1">
        <v>21.02</v>
      </c>
      <c r="H414" s="1">
        <v>2510.06</v>
      </c>
      <c r="I414" s="1">
        <v>7.6300000000000007E-2</v>
      </c>
      <c r="J414" s="1">
        <v>9.0248000000000008</v>
      </c>
      <c r="K414" s="1">
        <v>4.2050000000000001</v>
      </c>
      <c r="L414" s="1">
        <v>1.889</v>
      </c>
      <c r="M414" s="1">
        <v>1.3280000000000001</v>
      </c>
      <c r="N414" s="1">
        <v>1426</v>
      </c>
      <c r="O414" s="1">
        <v>412.6</v>
      </c>
      <c r="P414" s="1">
        <v>1518.3</v>
      </c>
      <c r="Q414" s="1">
        <v>9.34</v>
      </c>
      <c r="R414" s="1">
        <v>570.5</v>
      </c>
      <c r="S414" s="1">
        <v>17.34</v>
      </c>
      <c r="T414" s="1">
        <v>74.94</v>
      </c>
      <c r="U414" s="1">
        <v>5</v>
      </c>
    </row>
    <row r="415" spans="1:21">
      <c r="A415" s="32">
        <v>10</v>
      </c>
      <c r="B415" s="1">
        <v>1.23E-3</v>
      </c>
      <c r="C415" s="108">
        <f t="shared" si="25"/>
        <v>0.17839674</v>
      </c>
      <c r="D415" s="1">
        <v>999.7</v>
      </c>
      <c r="E415" s="1">
        <f t="shared" si="26"/>
        <v>9.4073377234242719E-3</v>
      </c>
      <c r="F415" s="1">
        <v>106.3</v>
      </c>
      <c r="G415" s="1">
        <v>42.02</v>
      </c>
      <c r="H415" s="1">
        <v>2519.21</v>
      </c>
      <c r="I415" s="1">
        <v>0.15110000000000001</v>
      </c>
      <c r="J415" s="1">
        <v>8.8998000000000008</v>
      </c>
      <c r="K415" s="1">
        <v>4.1959999999999997</v>
      </c>
      <c r="L415" s="1">
        <v>1.895</v>
      </c>
      <c r="M415" s="1">
        <v>1.3280000000000001</v>
      </c>
      <c r="N415" s="1">
        <v>1447</v>
      </c>
      <c r="O415" s="1">
        <v>416.2</v>
      </c>
      <c r="P415" s="1">
        <v>1306</v>
      </c>
      <c r="Q415" s="1">
        <v>9.4600000000000009</v>
      </c>
      <c r="R415" s="1">
        <v>580</v>
      </c>
      <c r="S415" s="1">
        <v>17.62</v>
      </c>
      <c r="T415" s="1">
        <v>74.22</v>
      </c>
      <c r="U415" s="1">
        <v>10</v>
      </c>
    </row>
    <row r="416" spans="1:21">
      <c r="A416" s="32">
        <v>15</v>
      </c>
      <c r="B416" s="1">
        <v>1.7099999999999999E-3</v>
      </c>
      <c r="C416" s="108">
        <f t="shared" si="25"/>
        <v>0.24801498</v>
      </c>
      <c r="D416" s="1">
        <v>999.1</v>
      </c>
      <c r="E416" s="1">
        <f t="shared" si="26"/>
        <v>1.2841091492776886E-2</v>
      </c>
      <c r="F416" s="1">
        <v>77.875</v>
      </c>
      <c r="G416" s="1">
        <v>62.98</v>
      </c>
      <c r="H416" s="1">
        <v>2528.33</v>
      </c>
      <c r="I416" s="1">
        <v>0.22450000000000001</v>
      </c>
      <c r="J416" s="1">
        <v>8.7803000000000004</v>
      </c>
      <c r="K416" s="1">
        <v>4.1890000000000001</v>
      </c>
      <c r="L416" s="1">
        <v>1.9</v>
      </c>
      <c r="M416" s="1">
        <v>1.3280000000000001</v>
      </c>
      <c r="N416" s="1">
        <v>1466</v>
      </c>
      <c r="O416" s="1">
        <v>419.7</v>
      </c>
      <c r="P416" s="1">
        <v>1137.5999999999999</v>
      </c>
      <c r="Q416" s="1">
        <v>9.59</v>
      </c>
      <c r="R416" s="1">
        <v>589.29999999999995</v>
      </c>
      <c r="S416" s="1">
        <v>17.920000000000002</v>
      </c>
      <c r="T416" s="1">
        <v>73.489999999999995</v>
      </c>
      <c r="U416" s="1">
        <v>15</v>
      </c>
    </row>
    <row r="417" spans="1:21">
      <c r="A417" s="32">
        <v>20</v>
      </c>
      <c r="B417" s="1">
        <v>2.3400000000000001E-3</v>
      </c>
      <c r="C417" s="108">
        <f t="shared" si="25"/>
        <v>0.33938892000000004</v>
      </c>
      <c r="D417" s="1">
        <v>998.2</v>
      </c>
      <c r="E417" s="1">
        <f t="shared" si="26"/>
        <v>1.7313918659210139E-2</v>
      </c>
      <c r="F417" s="1">
        <v>57.756999999999998</v>
      </c>
      <c r="G417" s="1">
        <v>83.91</v>
      </c>
      <c r="H417" s="1">
        <v>2537.4299999999998</v>
      </c>
      <c r="I417" s="1">
        <v>0.29649999999999999</v>
      </c>
      <c r="J417" s="1">
        <v>8.6660000000000004</v>
      </c>
      <c r="K417" s="1">
        <v>4.1840000000000002</v>
      </c>
      <c r="L417" s="1">
        <v>1.9059999999999999</v>
      </c>
      <c r="M417" s="1">
        <v>1.327</v>
      </c>
      <c r="N417" s="1">
        <v>1482</v>
      </c>
      <c r="O417" s="1">
        <v>423.2</v>
      </c>
      <c r="P417" s="1">
        <v>1001.6</v>
      </c>
      <c r="Q417" s="1">
        <v>9.73</v>
      </c>
      <c r="R417" s="1">
        <v>598.4</v>
      </c>
      <c r="S417" s="1">
        <v>18.23</v>
      </c>
      <c r="T417" s="1">
        <v>72.739999999999995</v>
      </c>
      <c r="U417" s="1">
        <v>20</v>
      </c>
    </row>
    <row r="418" spans="1:21">
      <c r="A418" s="32">
        <v>25</v>
      </c>
      <c r="B418" s="1">
        <v>3.1700000000000001E-3</v>
      </c>
      <c r="C418" s="108">
        <f t="shared" si="25"/>
        <v>0.45977046000000005</v>
      </c>
      <c r="D418" s="1">
        <v>997</v>
      </c>
      <c r="E418" s="1">
        <f t="shared" si="26"/>
        <v>2.3074970579412511E-2</v>
      </c>
      <c r="F418" s="1">
        <v>43.337000000000003</v>
      </c>
      <c r="G418" s="1">
        <v>104.83</v>
      </c>
      <c r="H418" s="1">
        <v>2546.5100000000002</v>
      </c>
      <c r="I418" s="1">
        <v>0.36720000000000003</v>
      </c>
      <c r="J418" s="1">
        <v>8.5565999999999995</v>
      </c>
      <c r="K418" s="1">
        <v>4.1820000000000004</v>
      </c>
      <c r="L418" s="1">
        <v>1.9119999999999999</v>
      </c>
      <c r="M418" s="1">
        <v>1.327</v>
      </c>
      <c r="N418" s="1">
        <v>1497</v>
      </c>
      <c r="O418" s="1">
        <v>426.6</v>
      </c>
      <c r="P418" s="1">
        <v>890.1</v>
      </c>
      <c r="Q418" s="1">
        <v>9.8699999999999992</v>
      </c>
      <c r="R418" s="1">
        <v>607.20000000000005</v>
      </c>
      <c r="S418" s="1">
        <v>18.55</v>
      </c>
      <c r="T418" s="1">
        <v>71.97</v>
      </c>
      <c r="U418" s="1">
        <v>25</v>
      </c>
    </row>
    <row r="419" spans="1:21">
      <c r="A419" s="32">
        <v>30</v>
      </c>
      <c r="B419" s="1">
        <v>4.2500000000000003E-3</v>
      </c>
      <c r="C419" s="108">
        <f t="shared" si="25"/>
        <v>0.61641150000000011</v>
      </c>
      <c r="D419" s="1">
        <v>995.6</v>
      </c>
      <c r="E419" s="1">
        <f t="shared" si="26"/>
        <v>3.0415475393880405E-2</v>
      </c>
      <c r="F419" s="1">
        <v>32.878</v>
      </c>
      <c r="G419" s="1">
        <v>125.73</v>
      </c>
      <c r="H419" s="1">
        <v>2555.5500000000002</v>
      </c>
      <c r="I419" s="1">
        <v>0.43680000000000002</v>
      </c>
      <c r="J419" s="1">
        <v>8.452</v>
      </c>
      <c r="K419" s="1">
        <v>4.18</v>
      </c>
      <c r="L419" s="1">
        <v>1.9179999999999999</v>
      </c>
      <c r="M419" s="1">
        <v>1.327</v>
      </c>
      <c r="N419" s="1">
        <v>1509</v>
      </c>
      <c r="O419" s="1">
        <v>430</v>
      </c>
      <c r="P419" s="1">
        <v>797.4</v>
      </c>
      <c r="Q419" s="1">
        <v>10.01</v>
      </c>
      <c r="R419" s="1">
        <v>615.5</v>
      </c>
      <c r="S419" s="1">
        <v>18.89</v>
      </c>
      <c r="T419" s="1">
        <v>71.19</v>
      </c>
      <c r="U419" s="1">
        <v>30</v>
      </c>
    </row>
    <row r="420" spans="1:21">
      <c r="A420" s="32">
        <v>35</v>
      </c>
      <c r="B420" s="1">
        <v>5.6299999999999996E-3</v>
      </c>
      <c r="C420" s="108">
        <f t="shared" si="25"/>
        <v>0.81656393999999999</v>
      </c>
      <c r="D420" s="1">
        <v>994</v>
      </c>
      <c r="E420" s="1">
        <f t="shared" si="26"/>
        <v>3.967466772465781E-2</v>
      </c>
      <c r="F420" s="1">
        <v>25.204999999999998</v>
      </c>
      <c r="G420" s="1">
        <v>146.63</v>
      </c>
      <c r="H420" s="1">
        <v>2564.5500000000002</v>
      </c>
      <c r="I420" s="1">
        <v>0.50509999999999999</v>
      </c>
      <c r="J420" s="1">
        <v>8.3516999999999992</v>
      </c>
      <c r="K420" s="1">
        <v>4.18</v>
      </c>
      <c r="L420" s="1">
        <v>1.925</v>
      </c>
      <c r="M420" s="1">
        <v>1.327</v>
      </c>
      <c r="N420" s="1">
        <v>1520</v>
      </c>
      <c r="O420" s="1">
        <v>433.4</v>
      </c>
      <c r="P420" s="1">
        <v>719.3</v>
      </c>
      <c r="Q420" s="1">
        <v>10.16</v>
      </c>
      <c r="R420" s="1">
        <v>623.29999999999995</v>
      </c>
      <c r="S420" s="1">
        <v>19.239999999999998</v>
      </c>
      <c r="T420" s="1">
        <v>70.400000000000006</v>
      </c>
      <c r="U420" s="1">
        <v>35</v>
      </c>
    </row>
    <row r="421" spans="1:21">
      <c r="A421" s="32">
        <v>40</v>
      </c>
      <c r="B421" s="1">
        <v>7.3800000000000003E-3</v>
      </c>
      <c r="C421" s="108">
        <f t="shared" si="25"/>
        <v>1.0703804400000001</v>
      </c>
      <c r="D421" s="1">
        <v>992.2</v>
      </c>
      <c r="E421" s="1">
        <f t="shared" si="26"/>
        <v>5.1242633871380991E-2</v>
      </c>
      <c r="F421" s="1">
        <v>19.515000000000001</v>
      </c>
      <c r="G421" s="1">
        <v>167.53</v>
      </c>
      <c r="H421" s="1">
        <v>2573.5100000000002</v>
      </c>
      <c r="I421" s="1">
        <v>0.57240000000000002</v>
      </c>
      <c r="J421" s="1">
        <v>8.2554999999999996</v>
      </c>
      <c r="K421" s="1">
        <v>4.18</v>
      </c>
      <c r="L421" s="1">
        <v>1.931</v>
      </c>
      <c r="M421" s="1">
        <v>1.327</v>
      </c>
      <c r="N421" s="1">
        <v>1529</v>
      </c>
      <c r="O421" s="1">
        <v>436.7</v>
      </c>
      <c r="P421" s="1">
        <v>653</v>
      </c>
      <c r="Q421" s="1">
        <v>10.31</v>
      </c>
      <c r="R421" s="1">
        <v>630.6</v>
      </c>
      <c r="S421" s="1">
        <v>19.600000000000001</v>
      </c>
      <c r="T421" s="1">
        <v>69.599999999999994</v>
      </c>
      <c r="U421" s="1">
        <v>40</v>
      </c>
    </row>
    <row r="422" spans="1:21">
      <c r="A422" s="32">
        <v>45</v>
      </c>
      <c r="B422" s="1">
        <v>9.5899999999999996E-3</v>
      </c>
      <c r="C422" s="108">
        <f t="shared" si="25"/>
        <v>1.3909144200000001</v>
      </c>
      <c r="D422" s="1">
        <v>990.2</v>
      </c>
      <c r="E422" s="1">
        <f t="shared" si="26"/>
        <v>6.5565171780750067E-2</v>
      </c>
      <c r="F422" s="1">
        <v>15.252000000000001</v>
      </c>
      <c r="G422" s="1">
        <v>188.43</v>
      </c>
      <c r="H422" s="1">
        <v>2582.4299999999998</v>
      </c>
      <c r="I422" s="1">
        <v>0.63859999999999995</v>
      </c>
      <c r="J422" s="1">
        <v>8.1632999999999996</v>
      </c>
      <c r="K422" s="1">
        <v>4.18</v>
      </c>
      <c r="L422" s="1">
        <v>1.9390000000000001</v>
      </c>
      <c r="M422" s="1">
        <v>1.327</v>
      </c>
      <c r="N422" s="1">
        <v>1536</v>
      </c>
      <c r="O422" s="1">
        <v>440</v>
      </c>
      <c r="P422" s="1">
        <v>596.1</v>
      </c>
      <c r="Q422" s="1">
        <v>10.46</v>
      </c>
      <c r="R422" s="1">
        <v>637.29999999999995</v>
      </c>
      <c r="S422" s="1">
        <v>19.97</v>
      </c>
      <c r="T422" s="1">
        <v>68.78</v>
      </c>
      <c r="U422" s="1">
        <v>45</v>
      </c>
    </row>
    <row r="423" spans="1:21">
      <c r="A423" s="32">
        <v>50</v>
      </c>
      <c r="B423" s="1">
        <v>1.235E-2</v>
      </c>
      <c r="C423" s="108">
        <f t="shared" si="25"/>
        <v>1.7912193000000001</v>
      </c>
      <c r="D423" s="1">
        <v>988</v>
      </c>
      <c r="E423" s="1">
        <f t="shared" si="26"/>
        <v>8.3146254261245542E-2</v>
      </c>
      <c r="F423" s="1">
        <v>12.026999999999999</v>
      </c>
      <c r="G423" s="1">
        <v>209.34</v>
      </c>
      <c r="H423" s="1">
        <v>2591.29</v>
      </c>
      <c r="I423" s="1">
        <v>0.70379999999999998</v>
      </c>
      <c r="J423" s="1">
        <v>8.0747999999999998</v>
      </c>
      <c r="K423" s="1">
        <v>4.1820000000000004</v>
      </c>
      <c r="L423" s="1">
        <v>1.9470000000000001</v>
      </c>
      <c r="M423" s="1">
        <v>1.3280000000000001</v>
      </c>
      <c r="N423" s="1">
        <v>1542</v>
      </c>
      <c r="O423" s="1">
        <v>443.2</v>
      </c>
      <c r="P423" s="1">
        <v>546.79999999999995</v>
      </c>
      <c r="Q423" s="1">
        <v>10.62</v>
      </c>
      <c r="R423" s="1">
        <v>643.6</v>
      </c>
      <c r="S423" s="1">
        <v>20.36</v>
      </c>
      <c r="T423" s="1">
        <v>67.94</v>
      </c>
      <c r="U423" s="1">
        <v>50</v>
      </c>
    </row>
    <row r="424" spans="1:21">
      <c r="A424" s="32">
        <v>55</v>
      </c>
      <c r="B424" s="1">
        <v>1.576E-2</v>
      </c>
      <c r="C424" s="108">
        <f t="shared" si="25"/>
        <v>2.2857988800000002</v>
      </c>
      <c r="D424" s="1">
        <v>985.7</v>
      </c>
      <c r="E424" s="1">
        <f t="shared" si="26"/>
        <v>0.10455548236671791</v>
      </c>
      <c r="F424" s="1">
        <v>9.5642999999999994</v>
      </c>
      <c r="G424" s="1">
        <v>230.26</v>
      </c>
      <c r="H424" s="1">
        <v>2600.09</v>
      </c>
      <c r="I424" s="1">
        <v>0.76800000000000002</v>
      </c>
      <c r="J424" s="1">
        <v>7.9897999999999998</v>
      </c>
      <c r="K424" s="1">
        <v>4.1829999999999998</v>
      </c>
      <c r="L424" s="1">
        <v>1.9550000000000001</v>
      </c>
      <c r="M424" s="1">
        <v>1.3280000000000001</v>
      </c>
      <c r="N424" s="1">
        <v>1547</v>
      </c>
      <c r="O424" s="1">
        <v>446.4</v>
      </c>
      <c r="P424" s="1">
        <v>504</v>
      </c>
      <c r="Q424" s="1">
        <v>10.77</v>
      </c>
      <c r="R424" s="1">
        <v>649.20000000000005</v>
      </c>
      <c r="S424" s="1">
        <v>20.77</v>
      </c>
      <c r="T424" s="1">
        <v>67.099999999999994</v>
      </c>
      <c r="U424" s="1">
        <v>55</v>
      </c>
    </row>
    <row r="425" spans="1:21">
      <c r="A425" s="32">
        <v>60</v>
      </c>
      <c r="B425" s="1">
        <v>1.9949999999999999E-2</v>
      </c>
      <c r="C425" s="108">
        <f t="shared" si="25"/>
        <v>2.8935081</v>
      </c>
      <c r="D425" s="1">
        <v>983.2</v>
      </c>
      <c r="E425" s="1">
        <f t="shared" si="26"/>
        <v>0.13042570951585977</v>
      </c>
      <c r="F425" s="1">
        <v>7.6672000000000002</v>
      </c>
      <c r="G425" s="1">
        <v>251.18</v>
      </c>
      <c r="H425" s="1">
        <v>2608.83</v>
      </c>
      <c r="I425" s="1">
        <v>0.83130000000000004</v>
      </c>
      <c r="J425" s="1">
        <v>7.9081000000000001</v>
      </c>
      <c r="K425" s="1">
        <v>4.1849999999999996</v>
      </c>
      <c r="L425" s="1">
        <v>1.9650000000000001</v>
      </c>
      <c r="M425" s="1">
        <v>1.3280000000000001</v>
      </c>
      <c r="N425" s="1">
        <v>1551</v>
      </c>
      <c r="O425" s="1">
        <v>449.5</v>
      </c>
      <c r="P425" s="1">
        <v>466.4</v>
      </c>
      <c r="Q425" s="1">
        <v>10.93</v>
      </c>
      <c r="R425" s="1">
        <v>654.29999999999995</v>
      </c>
      <c r="S425" s="1">
        <v>21.19</v>
      </c>
      <c r="T425" s="1">
        <v>66.239999999999995</v>
      </c>
      <c r="U425" s="1">
        <v>60</v>
      </c>
    </row>
    <row r="426" spans="1:21">
      <c r="A426" s="32">
        <v>65</v>
      </c>
      <c r="B426" s="1">
        <v>2.504E-2</v>
      </c>
      <c r="C426" s="108">
        <f t="shared" si="25"/>
        <v>3.6317515200000003</v>
      </c>
      <c r="D426" s="1">
        <v>980.5</v>
      </c>
      <c r="E426" s="1">
        <f t="shared" si="26"/>
        <v>0.16145959473641722</v>
      </c>
      <c r="F426" s="1">
        <v>6.1935000000000002</v>
      </c>
      <c r="G426" s="1">
        <v>272.12</v>
      </c>
      <c r="H426" s="1">
        <v>2617.5</v>
      </c>
      <c r="I426" s="1">
        <v>0.89370000000000005</v>
      </c>
      <c r="J426" s="1">
        <v>7.8296000000000001</v>
      </c>
      <c r="K426" s="1">
        <v>4.1870000000000003</v>
      </c>
      <c r="L426" s="1">
        <v>1.9750000000000001</v>
      </c>
      <c r="M426" s="1">
        <v>1.329</v>
      </c>
      <c r="N426" s="1">
        <v>1553</v>
      </c>
      <c r="O426" s="1">
        <v>452.6</v>
      </c>
      <c r="P426" s="1">
        <v>433.2</v>
      </c>
      <c r="Q426" s="1">
        <v>11.1</v>
      </c>
      <c r="R426" s="1">
        <v>659</v>
      </c>
      <c r="S426" s="1">
        <v>21.62</v>
      </c>
      <c r="T426" s="1">
        <v>65.37</v>
      </c>
      <c r="U426" s="1">
        <v>65</v>
      </c>
    </row>
    <row r="427" spans="1:21">
      <c r="A427" s="32">
        <v>70</v>
      </c>
      <c r="B427" s="1">
        <v>3.1199999999999999E-2</v>
      </c>
      <c r="C427" s="108">
        <f t="shared" si="25"/>
        <v>4.5251856000000004</v>
      </c>
      <c r="D427" s="1">
        <v>977.7</v>
      </c>
      <c r="E427" s="1">
        <f t="shared" si="26"/>
        <v>0.19843238416509573</v>
      </c>
      <c r="F427" s="1">
        <v>5.0395000000000003</v>
      </c>
      <c r="G427" s="1">
        <v>293.07</v>
      </c>
      <c r="H427" s="1">
        <v>2626.1</v>
      </c>
      <c r="I427" s="1">
        <v>0.95509999999999995</v>
      </c>
      <c r="J427" s="1">
        <v>7.7539999999999996</v>
      </c>
      <c r="K427" s="1">
        <v>4.1900000000000004</v>
      </c>
      <c r="L427" s="1">
        <v>1.986</v>
      </c>
      <c r="M427" s="1">
        <v>1.33</v>
      </c>
      <c r="N427" s="1">
        <v>1555</v>
      </c>
      <c r="O427" s="1">
        <v>455.6</v>
      </c>
      <c r="P427" s="1">
        <v>403.9</v>
      </c>
      <c r="Q427" s="1">
        <v>11.26</v>
      </c>
      <c r="R427" s="1">
        <v>663.1</v>
      </c>
      <c r="S427" s="1">
        <v>22.07</v>
      </c>
      <c r="T427" s="1">
        <v>64.48</v>
      </c>
      <c r="U427" s="1">
        <v>70</v>
      </c>
    </row>
    <row r="428" spans="1:21">
      <c r="A428" s="32">
        <v>75</v>
      </c>
      <c r="B428" s="1">
        <v>3.8600000000000002E-2</v>
      </c>
      <c r="C428" s="108">
        <f t="shared" si="25"/>
        <v>5.5984668000000006</v>
      </c>
      <c r="D428" s="1">
        <v>974.8</v>
      </c>
      <c r="E428" s="1">
        <f t="shared" si="26"/>
        <v>0.24219525781685197</v>
      </c>
      <c r="F428" s="1">
        <v>4.1288999999999998</v>
      </c>
      <c r="G428" s="1">
        <v>314.02999999999997</v>
      </c>
      <c r="H428" s="1">
        <v>2634.6</v>
      </c>
      <c r="I428" s="1">
        <v>1.0158</v>
      </c>
      <c r="J428" s="1">
        <v>7.6811999999999996</v>
      </c>
      <c r="K428" s="1">
        <v>4.1929999999999996</v>
      </c>
      <c r="L428" s="1">
        <v>1.9990000000000001</v>
      </c>
      <c r="M428" s="1">
        <v>1.331</v>
      </c>
      <c r="N428" s="1">
        <v>1555</v>
      </c>
      <c r="O428" s="1">
        <v>458.5</v>
      </c>
      <c r="P428" s="1">
        <v>377.7</v>
      </c>
      <c r="Q428" s="1">
        <v>11.43</v>
      </c>
      <c r="R428" s="1">
        <v>666.8</v>
      </c>
      <c r="S428" s="1">
        <v>22.53</v>
      </c>
      <c r="T428" s="1">
        <v>63.58</v>
      </c>
      <c r="U428" s="1">
        <v>75</v>
      </c>
    </row>
    <row r="429" spans="1:21">
      <c r="A429" s="32">
        <v>80</v>
      </c>
      <c r="B429" s="1">
        <v>4.7410000000000001E-2</v>
      </c>
      <c r="C429" s="108">
        <f t="shared" si="25"/>
        <v>6.8762515800000008</v>
      </c>
      <c r="D429" s="1">
        <v>971.8</v>
      </c>
      <c r="E429" s="1">
        <f t="shared" si="26"/>
        <v>0.29366850698931046</v>
      </c>
      <c r="F429" s="1">
        <v>3.4051999999999998</v>
      </c>
      <c r="G429" s="1">
        <v>335.01</v>
      </c>
      <c r="H429" s="1">
        <v>2643.02</v>
      </c>
      <c r="I429" s="1">
        <v>1.0755999999999999</v>
      </c>
      <c r="J429" s="1">
        <v>7.6111000000000004</v>
      </c>
      <c r="K429" s="1">
        <v>4.1970000000000001</v>
      </c>
      <c r="L429" s="1">
        <v>2.012</v>
      </c>
      <c r="M429" s="1">
        <v>1.3320000000000001</v>
      </c>
      <c r="N429" s="1">
        <v>1554</v>
      </c>
      <c r="O429" s="1">
        <v>461.4</v>
      </c>
      <c r="P429" s="1">
        <v>354.3</v>
      </c>
      <c r="Q429" s="1">
        <v>11.59</v>
      </c>
      <c r="R429" s="1">
        <v>670</v>
      </c>
      <c r="S429" s="1">
        <v>23.01</v>
      </c>
      <c r="T429" s="1">
        <v>62.67</v>
      </c>
      <c r="U429" s="1">
        <v>80</v>
      </c>
    </row>
    <row r="430" spans="1:21">
      <c r="A430" s="32">
        <v>85</v>
      </c>
      <c r="B430" s="1">
        <v>5.7869999999999998E-2</v>
      </c>
      <c r="C430" s="108">
        <f t="shared" si="25"/>
        <v>8.3933490600000003</v>
      </c>
      <c r="D430" s="1">
        <v>968.6</v>
      </c>
      <c r="E430" s="1">
        <f t="shared" si="26"/>
        <v>0.35388208648878194</v>
      </c>
      <c r="F430" s="1">
        <v>2.8258000000000001</v>
      </c>
      <c r="G430" s="1">
        <v>356.01</v>
      </c>
      <c r="H430" s="1">
        <v>2651.33</v>
      </c>
      <c r="I430" s="1">
        <v>1.1346000000000001</v>
      </c>
      <c r="J430" s="1">
        <v>7.5434000000000001</v>
      </c>
      <c r="K430" s="1">
        <v>4.2009999999999996</v>
      </c>
      <c r="L430" s="1">
        <v>2.0270000000000001</v>
      </c>
      <c r="M430" s="1">
        <v>1.333</v>
      </c>
      <c r="N430" s="1">
        <v>1553</v>
      </c>
      <c r="O430" s="1">
        <v>464.2</v>
      </c>
      <c r="P430" s="1">
        <v>333.3</v>
      </c>
      <c r="Q430" s="1">
        <v>11.76</v>
      </c>
      <c r="R430" s="1">
        <v>672.8</v>
      </c>
      <c r="S430" s="1">
        <v>23.51</v>
      </c>
      <c r="T430" s="1">
        <v>61.75</v>
      </c>
      <c r="U430" s="1">
        <v>85</v>
      </c>
    </row>
    <row r="431" spans="1:21">
      <c r="A431" s="32">
        <v>90</v>
      </c>
      <c r="B431" s="1">
        <v>7.0180000000000006E-2</v>
      </c>
      <c r="C431" s="108">
        <f t="shared" si="25"/>
        <v>10.178766840000002</v>
      </c>
      <c r="D431" s="1">
        <v>965.3</v>
      </c>
      <c r="E431" s="1">
        <f t="shared" si="26"/>
        <v>0.4238904667034038</v>
      </c>
      <c r="F431" s="1">
        <v>2.3591000000000002</v>
      </c>
      <c r="G431" s="1">
        <v>377.04</v>
      </c>
      <c r="H431" s="1">
        <v>2659.53</v>
      </c>
      <c r="I431" s="1">
        <v>1.1929000000000001</v>
      </c>
      <c r="J431" s="1">
        <v>7.4781000000000004</v>
      </c>
      <c r="K431" s="1">
        <v>4.2050000000000001</v>
      </c>
      <c r="L431" s="1">
        <v>2.0430000000000001</v>
      </c>
      <c r="M431" s="1">
        <v>1.3340000000000001</v>
      </c>
      <c r="N431" s="1">
        <v>1550</v>
      </c>
      <c r="O431" s="1">
        <v>466.9</v>
      </c>
      <c r="P431" s="1">
        <v>314.39999999999998</v>
      </c>
      <c r="Q431" s="1">
        <v>11.93</v>
      </c>
      <c r="R431" s="1">
        <v>675.3</v>
      </c>
      <c r="S431" s="1">
        <v>24.02</v>
      </c>
      <c r="T431" s="1">
        <v>60.82</v>
      </c>
      <c r="U431" s="1">
        <v>90</v>
      </c>
    </row>
    <row r="432" spans="1:21">
      <c r="A432" s="32">
        <v>95</v>
      </c>
      <c r="B432" s="1">
        <v>8.4610000000000005E-2</v>
      </c>
      <c r="C432" s="108">
        <f t="shared" si="25"/>
        <v>12.271665180000001</v>
      </c>
      <c r="D432" s="1">
        <v>961.9</v>
      </c>
      <c r="E432" s="1">
        <f t="shared" si="26"/>
        <v>0.50489750580632131</v>
      </c>
      <c r="F432" s="1">
        <v>1.9805999999999999</v>
      </c>
      <c r="G432" s="1">
        <v>398.09</v>
      </c>
      <c r="H432" s="1">
        <v>2667.61</v>
      </c>
      <c r="I432" s="1">
        <v>1.2504</v>
      </c>
      <c r="J432" s="1">
        <v>7.4150999999999998</v>
      </c>
      <c r="K432" s="1">
        <v>4.21</v>
      </c>
      <c r="L432" s="1">
        <v>2.0609999999999999</v>
      </c>
      <c r="M432" s="1">
        <v>1.335</v>
      </c>
      <c r="N432" s="1">
        <v>1547</v>
      </c>
      <c r="O432" s="1">
        <v>469.6</v>
      </c>
      <c r="P432" s="1">
        <v>297.3</v>
      </c>
      <c r="Q432" s="1">
        <v>12.1</v>
      </c>
      <c r="R432" s="1">
        <v>677.3</v>
      </c>
      <c r="S432" s="1">
        <v>24.55</v>
      </c>
      <c r="T432" s="1">
        <v>59.87</v>
      </c>
      <c r="U432" s="1">
        <v>95</v>
      </c>
    </row>
    <row r="433" spans="1:21">
      <c r="A433" s="32">
        <v>99.97</v>
      </c>
      <c r="B433" s="1">
        <v>0.10133</v>
      </c>
      <c r="C433" s="108">
        <f t="shared" si="25"/>
        <v>14.696700540000002</v>
      </c>
      <c r="D433" s="1">
        <v>958.4</v>
      </c>
      <c r="E433" s="1">
        <f t="shared" si="26"/>
        <v>0.59765718383934974</v>
      </c>
      <c r="F433" s="1">
        <v>1.6732</v>
      </c>
      <c r="G433" s="1">
        <v>419.06</v>
      </c>
      <c r="H433" s="1">
        <v>2675.53</v>
      </c>
      <c r="I433" s="1">
        <v>1.3069</v>
      </c>
      <c r="J433" s="1">
        <v>7.3544</v>
      </c>
      <c r="K433" s="1">
        <v>4.2160000000000002</v>
      </c>
      <c r="L433" s="1">
        <v>2.08</v>
      </c>
      <c r="M433" s="1">
        <v>1.337</v>
      </c>
      <c r="N433" s="1">
        <v>1543</v>
      </c>
      <c r="O433" s="1">
        <v>472.2</v>
      </c>
      <c r="P433" s="1">
        <v>281.8</v>
      </c>
      <c r="Q433" s="1">
        <v>12.27</v>
      </c>
      <c r="R433" s="1">
        <v>679.1</v>
      </c>
      <c r="S433" s="1">
        <v>25.09</v>
      </c>
      <c r="T433" s="1">
        <v>58.92</v>
      </c>
      <c r="U433" s="1">
        <v>99.97</v>
      </c>
    </row>
    <row r="434" spans="1:21">
      <c r="A434" s="32">
        <v>100</v>
      </c>
      <c r="B434" s="1">
        <v>0.10142</v>
      </c>
      <c r="C434" s="108">
        <f t="shared" si="25"/>
        <v>14.70975396</v>
      </c>
      <c r="D434" s="1">
        <v>958.3</v>
      </c>
      <c r="E434" s="1">
        <f t="shared" si="26"/>
        <v>0.59815767436296208</v>
      </c>
      <c r="F434" s="1">
        <v>1.6718</v>
      </c>
      <c r="G434" s="1">
        <v>419.17</v>
      </c>
      <c r="H434" s="1">
        <v>2675.57</v>
      </c>
      <c r="I434" s="1">
        <v>1.3071999999999999</v>
      </c>
      <c r="J434" s="1">
        <v>7.3540999999999999</v>
      </c>
      <c r="K434" s="1">
        <v>4.2160000000000002</v>
      </c>
      <c r="L434" s="1">
        <v>2.08</v>
      </c>
      <c r="M434" s="1">
        <v>1.337</v>
      </c>
      <c r="N434" s="1">
        <v>1543</v>
      </c>
      <c r="O434" s="1">
        <v>472.2</v>
      </c>
      <c r="P434" s="1">
        <v>281.7</v>
      </c>
      <c r="Q434" s="1">
        <v>12.27</v>
      </c>
      <c r="R434" s="1">
        <v>679.1</v>
      </c>
      <c r="S434" s="1">
        <v>25.1</v>
      </c>
      <c r="T434" s="1">
        <v>58.91</v>
      </c>
      <c r="U434" s="1">
        <v>100</v>
      </c>
    </row>
    <row r="435" spans="1:21">
      <c r="A435" s="32">
        <v>105</v>
      </c>
      <c r="B435" s="1">
        <v>0.12089999999999999</v>
      </c>
      <c r="C435" s="108">
        <f t="shared" si="25"/>
        <v>17.5350942</v>
      </c>
      <c r="D435" s="1">
        <v>954.7</v>
      </c>
      <c r="E435" s="1">
        <f t="shared" si="26"/>
        <v>0.70501974055273542</v>
      </c>
      <c r="F435" s="1">
        <v>1.4184000000000001</v>
      </c>
      <c r="G435" s="1">
        <v>440.27</v>
      </c>
      <c r="H435" s="1">
        <v>2683.39</v>
      </c>
      <c r="I435" s="1">
        <v>1.3633</v>
      </c>
      <c r="J435" s="1">
        <v>7.2952000000000004</v>
      </c>
      <c r="K435" s="1">
        <v>4.2220000000000004</v>
      </c>
      <c r="L435" s="1">
        <v>2.101</v>
      </c>
      <c r="M435" s="1">
        <v>1.339</v>
      </c>
      <c r="N435" s="1">
        <v>1538</v>
      </c>
      <c r="O435" s="1">
        <v>474.7</v>
      </c>
      <c r="P435" s="1">
        <v>267.60000000000002</v>
      </c>
      <c r="Q435" s="1">
        <v>12.44</v>
      </c>
      <c r="R435" s="1">
        <v>680.5</v>
      </c>
      <c r="S435" s="1">
        <v>25.66</v>
      </c>
      <c r="T435" s="1">
        <v>57.94</v>
      </c>
      <c r="U435" s="1">
        <v>105</v>
      </c>
    </row>
    <row r="436" spans="1:21">
      <c r="A436" s="32">
        <v>110</v>
      </c>
      <c r="B436" s="1">
        <v>0.14338000000000001</v>
      </c>
      <c r="C436" s="108">
        <f t="shared" si="25"/>
        <v>20.795548440000001</v>
      </c>
      <c r="D436" s="1">
        <v>950.9</v>
      </c>
      <c r="E436" s="1">
        <f t="shared" si="26"/>
        <v>0.82692466716282143</v>
      </c>
      <c r="F436" s="1">
        <v>1.2093</v>
      </c>
      <c r="G436" s="1">
        <v>461.42</v>
      </c>
      <c r="H436" s="1">
        <v>2691.06</v>
      </c>
      <c r="I436" s="1">
        <v>1.4188000000000001</v>
      </c>
      <c r="J436" s="1">
        <v>7.2381000000000002</v>
      </c>
      <c r="K436" s="1">
        <v>4.2279999999999998</v>
      </c>
      <c r="L436" s="1">
        <v>2.1240000000000001</v>
      </c>
      <c r="M436" s="1">
        <v>1.341</v>
      </c>
      <c r="N436" s="1">
        <v>1533</v>
      </c>
      <c r="O436" s="1">
        <v>477.1</v>
      </c>
      <c r="P436" s="1">
        <v>254.7</v>
      </c>
      <c r="Q436" s="1">
        <v>12.61</v>
      </c>
      <c r="R436" s="1">
        <v>681.7</v>
      </c>
      <c r="S436" s="1">
        <v>26.24</v>
      </c>
      <c r="T436" s="1">
        <v>56.96</v>
      </c>
      <c r="U436" s="1">
        <v>110</v>
      </c>
    </row>
    <row r="437" spans="1:21">
      <c r="A437" s="32">
        <v>115</v>
      </c>
      <c r="B437" s="1">
        <v>0.16918</v>
      </c>
      <c r="C437" s="108">
        <f t="shared" si="25"/>
        <v>24.53752884</v>
      </c>
      <c r="D437" s="1">
        <v>947.1</v>
      </c>
      <c r="E437" s="1">
        <f t="shared" si="26"/>
        <v>0.9654373431164317</v>
      </c>
      <c r="F437" s="1">
        <v>1.0358000000000001</v>
      </c>
      <c r="G437" s="1">
        <v>482.59</v>
      </c>
      <c r="H437" s="1">
        <v>2698.58</v>
      </c>
      <c r="I437" s="1">
        <v>1.4737</v>
      </c>
      <c r="J437" s="1">
        <v>7.1828000000000003</v>
      </c>
      <c r="K437" s="1">
        <v>4.2359999999999998</v>
      </c>
      <c r="L437" s="1">
        <v>2.15</v>
      </c>
      <c r="M437" s="1">
        <v>1.343</v>
      </c>
      <c r="N437" s="1">
        <v>1527</v>
      </c>
      <c r="O437" s="1">
        <v>479.5</v>
      </c>
      <c r="P437" s="1">
        <v>242.9</v>
      </c>
      <c r="Q437" s="1">
        <v>12.78</v>
      </c>
      <c r="R437" s="1">
        <v>682.6</v>
      </c>
      <c r="S437" s="1">
        <v>26.85</v>
      </c>
      <c r="T437" s="1">
        <v>55.97</v>
      </c>
      <c r="U437" s="1">
        <v>115</v>
      </c>
    </row>
    <row r="438" spans="1:21">
      <c r="A438" s="32">
        <v>120</v>
      </c>
      <c r="B438" s="1">
        <v>0.19867000000000001</v>
      </c>
      <c r="C438" s="108">
        <f t="shared" si="25"/>
        <v>28.814699460000003</v>
      </c>
      <c r="D438" s="1">
        <v>943.1</v>
      </c>
      <c r="E438" s="1">
        <f t="shared" si="26"/>
        <v>1.1220699947262711</v>
      </c>
      <c r="F438" s="1">
        <v>0.89120999999999995</v>
      </c>
      <c r="G438" s="1">
        <v>503.81</v>
      </c>
      <c r="H438" s="1">
        <v>2705.93</v>
      </c>
      <c r="I438" s="1">
        <v>1.5279</v>
      </c>
      <c r="J438" s="1">
        <v>7.1291000000000002</v>
      </c>
      <c r="K438" s="1">
        <v>4.2439999999999998</v>
      </c>
      <c r="L438" s="1">
        <v>2.177</v>
      </c>
      <c r="M438" s="1">
        <v>1.3460000000000001</v>
      </c>
      <c r="N438" s="1">
        <v>1520</v>
      </c>
      <c r="O438" s="1">
        <v>481.7</v>
      </c>
      <c r="P438" s="1">
        <v>232.1</v>
      </c>
      <c r="Q438" s="1">
        <v>12.96</v>
      </c>
      <c r="R438" s="1">
        <v>683.2</v>
      </c>
      <c r="S438" s="1">
        <v>27.47</v>
      </c>
      <c r="T438" s="1">
        <v>54.97</v>
      </c>
      <c r="U438" s="1">
        <v>120</v>
      </c>
    </row>
    <row r="439" spans="1:21">
      <c r="A439" s="32">
        <v>125</v>
      </c>
      <c r="B439" s="1">
        <v>0.23224</v>
      </c>
      <c r="C439" s="108">
        <f t="shared" si="25"/>
        <v>33.683625120000002</v>
      </c>
      <c r="D439" s="1">
        <v>939</v>
      </c>
      <c r="E439" s="1">
        <f t="shared" si="26"/>
        <v>1.2986507019207043</v>
      </c>
      <c r="F439" s="1">
        <v>0.77002999999999999</v>
      </c>
      <c r="G439" s="1">
        <v>525.07000000000005</v>
      </c>
      <c r="H439" s="1">
        <v>2713.1</v>
      </c>
      <c r="I439" s="1">
        <v>1.5815999999999999</v>
      </c>
      <c r="J439" s="1">
        <v>7.077</v>
      </c>
      <c r="K439" s="1">
        <v>4.2519999999999998</v>
      </c>
      <c r="L439" s="1">
        <v>2.2069999999999999</v>
      </c>
      <c r="M439" s="1">
        <v>1.349</v>
      </c>
      <c r="N439" s="1">
        <v>1512</v>
      </c>
      <c r="O439" s="1">
        <v>483.9</v>
      </c>
      <c r="P439" s="1">
        <v>222.1</v>
      </c>
      <c r="Q439" s="1">
        <v>13.13</v>
      </c>
      <c r="R439" s="1">
        <v>683.6</v>
      </c>
      <c r="S439" s="1">
        <v>28.11</v>
      </c>
      <c r="T439" s="1">
        <v>53.96</v>
      </c>
      <c r="U439" s="1">
        <v>125</v>
      </c>
    </row>
    <row r="440" spans="1:21">
      <c r="A440" s="32">
        <v>130</v>
      </c>
      <c r="B440" s="1">
        <v>0.27028000000000002</v>
      </c>
      <c r="C440" s="108">
        <f t="shared" si="25"/>
        <v>39.200870640000005</v>
      </c>
      <c r="D440" s="1">
        <v>934.8</v>
      </c>
      <c r="E440" s="1">
        <f t="shared" si="26"/>
        <v>1.4970059880239519</v>
      </c>
      <c r="F440" s="1">
        <v>0.66800000000000004</v>
      </c>
      <c r="G440" s="1">
        <v>546.38</v>
      </c>
      <c r="H440" s="1">
        <v>2720.08</v>
      </c>
      <c r="I440" s="1">
        <v>1.6346000000000001</v>
      </c>
      <c r="J440" s="1">
        <v>7.0263999999999998</v>
      </c>
      <c r="K440" s="1">
        <v>4.2610000000000001</v>
      </c>
      <c r="L440" s="1">
        <v>2.2389999999999999</v>
      </c>
      <c r="M440" s="1">
        <v>1.3520000000000001</v>
      </c>
      <c r="N440" s="1">
        <v>1504</v>
      </c>
      <c r="O440" s="1">
        <v>486</v>
      </c>
      <c r="P440" s="1">
        <v>212.9</v>
      </c>
      <c r="Q440" s="1">
        <v>13.3</v>
      </c>
      <c r="R440" s="1">
        <v>683.7</v>
      </c>
      <c r="S440" s="1">
        <v>28.76</v>
      </c>
      <c r="T440" s="1">
        <v>52.93</v>
      </c>
      <c r="U440" s="1">
        <v>130</v>
      </c>
    </row>
    <row r="441" spans="1:21">
      <c r="A441" s="32">
        <v>135</v>
      </c>
      <c r="B441" s="1">
        <v>0.31323000000000001</v>
      </c>
      <c r="C441" s="108">
        <f t="shared" si="25"/>
        <v>45.430252740000007</v>
      </c>
      <c r="D441" s="1">
        <v>930.5</v>
      </c>
      <c r="E441" s="1">
        <f t="shared" si="26"/>
        <v>1.7190105375345952</v>
      </c>
      <c r="F441" s="1">
        <v>0.58172999999999997</v>
      </c>
      <c r="G441" s="1">
        <v>567.74</v>
      </c>
      <c r="H441" s="1">
        <v>2726.87</v>
      </c>
      <c r="I441" s="1">
        <v>1.6872</v>
      </c>
      <c r="J441" s="1">
        <v>6.9771999999999998</v>
      </c>
      <c r="K441" s="1">
        <v>4.2720000000000002</v>
      </c>
      <c r="L441" s="1">
        <v>2.274</v>
      </c>
      <c r="M441" s="1">
        <v>1.355</v>
      </c>
      <c r="N441" s="1">
        <v>1496</v>
      </c>
      <c r="O441" s="1">
        <v>487.9</v>
      </c>
      <c r="P441" s="1">
        <v>204.4</v>
      </c>
      <c r="Q441" s="1">
        <v>13.47</v>
      </c>
      <c r="R441" s="1">
        <v>683.6</v>
      </c>
      <c r="S441" s="1">
        <v>29.44</v>
      </c>
      <c r="T441" s="1">
        <v>51.9</v>
      </c>
      <c r="U441" s="1">
        <v>135</v>
      </c>
    </row>
    <row r="442" spans="1:21">
      <c r="A442" s="32">
        <v>140</v>
      </c>
      <c r="B442" s="1">
        <v>0.36153999999999997</v>
      </c>
      <c r="C442" s="108">
        <f t="shared" si="25"/>
        <v>52.437038520000002</v>
      </c>
      <c r="D442" s="1">
        <v>926.1</v>
      </c>
      <c r="E442" s="1">
        <f t="shared" si="26"/>
        <v>1.9667617268167963</v>
      </c>
      <c r="F442" s="1">
        <v>0.50844999999999996</v>
      </c>
      <c r="G442" s="1">
        <v>589.16</v>
      </c>
      <c r="H442" s="1">
        <v>2733.44</v>
      </c>
      <c r="I442" s="1">
        <v>1.7392000000000001</v>
      </c>
      <c r="J442" s="1">
        <v>6.9292999999999996</v>
      </c>
      <c r="K442" s="1">
        <v>4.2830000000000004</v>
      </c>
      <c r="L442" s="1">
        <v>2.3109999999999999</v>
      </c>
      <c r="M442" s="1">
        <v>1.359</v>
      </c>
      <c r="N442" s="1">
        <v>1486</v>
      </c>
      <c r="O442" s="1">
        <v>489.8</v>
      </c>
      <c r="P442" s="1">
        <v>196.5</v>
      </c>
      <c r="Q442" s="1">
        <v>13.65</v>
      </c>
      <c r="R442" s="1">
        <v>683.3</v>
      </c>
      <c r="S442" s="1">
        <v>30.14</v>
      </c>
      <c r="T442" s="1">
        <v>50.86</v>
      </c>
      <c r="U442" s="1">
        <v>140</v>
      </c>
    </row>
    <row r="443" spans="1:21">
      <c r="A443" s="32">
        <v>145</v>
      </c>
      <c r="B443" s="1">
        <v>0.41567999999999999</v>
      </c>
      <c r="C443" s="108">
        <f t="shared" si="25"/>
        <v>60.289395840000005</v>
      </c>
      <c r="D443" s="1">
        <v>921.6</v>
      </c>
      <c r="E443" s="1">
        <f t="shared" si="26"/>
        <v>2.2423535743115974</v>
      </c>
      <c r="F443" s="1">
        <v>0.44596000000000002</v>
      </c>
      <c r="G443" s="1">
        <v>610.64</v>
      </c>
      <c r="H443" s="1">
        <v>2739.8</v>
      </c>
      <c r="I443" s="1">
        <v>1.7907</v>
      </c>
      <c r="J443" s="1">
        <v>6.8826000000000001</v>
      </c>
      <c r="K443" s="1">
        <v>4.2939999999999996</v>
      </c>
      <c r="L443" s="1">
        <v>2.351</v>
      </c>
      <c r="M443" s="1">
        <v>1.363</v>
      </c>
      <c r="N443" s="1">
        <v>1476</v>
      </c>
      <c r="O443" s="1">
        <v>491.6</v>
      </c>
      <c r="P443" s="1">
        <v>189.2</v>
      </c>
      <c r="Q443" s="1">
        <v>13.82</v>
      </c>
      <c r="R443" s="1">
        <v>682.8</v>
      </c>
      <c r="S443" s="1">
        <v>30.86</v>
      </c>
      <c r="T443" s="1">
        <v>49.8</v>
      </c>
      <c r="U443" s="1">
        <v>145</v>
      </c>
    </row>
    <row r="444" spans="1:21">
      <c r="A444" s="32">
        <v>150</v>
      </c>
      <c r="B444" s="1">
        <v>0.47616000000000003</v>
      </c>
      <c r="C444" s="108">
        <f t="shared" si="25"/>
        <v>69.06129408000001</v>
      </c>
      <c r="D444" s="1">
        <v>917</v>
      </c>
      <c r="E444" s="1">
        <f t="shared" si="26"/>
        <v>2.5480952987641738</v>
      </c>
      <c r="F444" s="1">
        <v>0.39245000000000002</v>
      </c>
      <c r="G444" s="1">
        <v>632.17999999999995</v>
      </c>
      <c r="H444" s="1">
        <v>2745.93</v>
      </c>
      <c r="I444" s="1">
        <v>1.8418000000000001</v>
      </c>
      <c r="J444" s="1">
        <v>6.8371000000000004</v>
      </c>
      <c r="K444" s="1">
        <v>4.3070000000000004</v>
      </c>
      <c r="L444" s="1">
        <v>2.3940000000000001</v>
      </c>
      <c r="M444" s="1">
        <v>1.3680000000000001</v>
      </c>
      <c r="N444" s="1">
        <v>1466</v>
      </c>
      <c r="O444" s="1">
        <v>493.3</v>
      </c>
      <c r="P444" s="1">
        <v>182.5</v>
      </c>
      <c r="Q444" s="1">
        <v>13.99</v>
      </c>
      <c r="R444" s="1">
        <v>682</v>
      </c>
      <c r="S444" s="1">
        <v>31.6</v>
      </c>
      <c r="T444" s="1">
        <v>48.74</v>
      </c>
      <c r="U444" s="1">
        <v>150</v>
      </c>
    </row>
    <row r="445" spans="1:21">
      <c r="A445" s="32">
        <v>155</v>
      </c>
      <c r="B445" s="1">
        <v>0.54349999999999998</v>
      </c>
      <c r="C445" s="108">
        <f t="shared" si="25"/>
        <v>78.828153</v>
      </c>
      <c r="D445" s="1">
        <v>912.3</v>
      </c>
      <c r="E445" s="1">
        <f t="shared" si="26"/>
        <v>2.8863360849737343</v>
      </c>
      <c r="F445" s="1">
        <v>0.34645999999999999</v>
      </c>
      <c r="G445" s="1">
        <v>653.79</v>
      </c>
      <c r="H445" s="1">
        <v>2751.81</v>
      </c>
      <c r="I445" s="1">
        <v>1.8924000000000001</v>
      </c>
      <c r="J445" s="1">
        <v>6.7926000000000002</v>
      </c>
      <c r="K445" s="1">
        <v>4.3209999999999997</v>
      </c>
      <c r="L445" s="1">
        <v>2.44</v>
      </c>
      <c r="M445" s="1">
        <v>1.373</v>
      </c>
      <c r="N445" s="1">
        <v>1455</v>
      </c>
      <c r="O445" s="1">
        <v>494.8</v>
      </c>
      <c r="P445" s="1">
        <v>176.1</v>
      </c>
      <c r="Q445" s="1">
        <v>14.16</v>
      </c>
      <c r="R445" s="1">
        <v>681.1</v>
      </c>
      <c r="S445" s="1">
        <v>32.35</v>
      </c>
      <c r="T445" s="1">
        <v>47.67</v>
      </c>
      <c r="U445" s="1">
        <v>155</v>
      </c>
    </row>
    <row r="446" spans="1:21">
      <c r="A446" s="32">
        <v>160</v>
      </c>
      <c r="B446" s="1">
        <v>0.61822999999999995</v>
      </c>
      <c r="C446" s="108">
        <f t="shared" si="25"/>
        <v>89.666842739999993</v>
      </c>
      <c r="D446" s="1">
        <v>907.4</v>
      </c>
      <c r="E446" s="1">
        <f t="shared" si="26"/>
        <v>3.2596649064476173</v>
      </c>
      <c r="F446" s="1">
        <v>0.30678</v>
      </c>
      <c r="G446" s="1">
        <v>675.47</v>
      </c>
      <c r="H446" s="1">
        <v>2757.44</v>
      </c>
      <c r="I446" s="1">
        <v>1.9426000000000001</v>
      </c>
      <c r="J446" s="1">
        <v>6.7491000000000003</v>
      </c>
      <c r="K446" s="1">
        <v>4.335</v>
      </c>
      <c r="L446" s="1">
        <v>2.488</v>
      </c>
      <c r="M446" s="1">
        <v>1.379</v>
      </c>
      <c r="N446" s="1">
        <v>1443</v>
      </c>
      <c r="O446" s="1">
        <v>496.3</v>
      </c>
      <c r="P446" s="1">
        <v>170.2</v>
      </c>
      <c r="Q446" s="1">
        <v>14.34</v>
      </c>
      <c r="R446" s="1">
        <v>680</v>
      </c>
      <c r="S446" s="1">
        <v>33.130000000000003</v>
      </c>
      <c r="T446" s="1">
        <v>46.59</v>
      </c>
      <c r="U446" s="1">
        <v>160</v>
      </c>
    </row>
    <row r="447" spans="1:21">
      <c r="A447" s="32">
        <v>165</v>
      </c>
      <c r="B447" s="1">
        <v>0.70093000000000005</v>
      </c>
      <c r="C447" s="108">
        <f t="shared" si="25"/>
        <v>101.66148534000001</v>
      </c>
      <c r="D447" s="1">
        <v>902.5</v>
      </c>
      <c r="E447" s="1">
        <f t="shared" si="26"/>
        <v>3.6706676944536212</v>
      </c>
      <c r="F447" s="1">
        <v>0.27243000000000001</v>
      </c>
      <c r="G447" s="1">
        <v>697.24</v>
      </c>
      <c r="H447" s="1">
        <v>2762.81</v>
      </c>
      <c r="I447" s="1">
        <v>1.9923</v>
      </c>
      <c r="J447" s="1">
        <v>6.7065999999999999</v>
      </c>
      <c r="K447" s="1">
        <v>4.351</v>
      </c>
      <c r="L447" s="1">
        <v>2.54</v>
      </c>
      <c r="M447" s="1">
        <v>1.385</v>
      </c>
      <c r="N447" s="1">
        <v>1431</v>
      </c>
      <c r="O447" s="1">
        <v>497.6</v>
      </c>
      <c r="P447" s="1">
        <v>164.7</v>
      </c>
      <c r="Q447" s="1">
        <v>14.51</v>
      </c>
      <c r="R447" s="1">
        <v>678.6</v>
      </c>
      <c r="S447" s="1">
        <v>33.93</v>
      </c>
      <c r="T447" s="1">
        <v>45.5</v>
      </c>
      <c r="U447" s="1">
        <v>165</v>
      </c>
    </row>
    <row r="448" spans="1:21">
      <c r="A448" s="32">
        <v>170</v>
      </c>
      <c r="B448" s="1">
        <v>0.79218999999999995</v>
      </c>
      <c r="C448" s="108">
        <f t="shared" si="25"/>
        <v>114.89765322</v>
      </c>
      <c r="D448" s="1">
        <v>897.5</v>
      </c>
      <c r="E448" s="1">
        <f t="shared" si="26"/>
        <v>4.1221814584278</v>
      </c>
      <c r="F448" s="1">
        <v>0.24259</v>
      </c>
      <c r="G448" s="1">
        <v>719.08</v>
      </c>
      <c r="H448" s="1">
        <v>2767.9</v>
      </c>
      <c r="I448" s="1">
        <v>2.0417000000000001</v>
      </c>
      <c r="J448" s="1">
        <v>6.665</v>
      </c>
      <c r="K448" s="1">
        <v>4.3680000000000003</v>
      </c>
      <c r="L448" s="1">
        <v>2.5939999999999999</v>
      </c>
      <c r="M448" s="1">
        <v>1.3919999999999999</v>
      </c>
      <c r="N448" s="1">
        <v>1419</v>
      </c>
      <c r="O448" s="1">
        <v>498.9</v>
      </c>
      <c r="P448" s="1">
        <v>159.6</v>
      </c>
      <c r="Q448" s="1">
        <v>14.68</v>
      </c>
      <c r="R448" s="1">
        <v>677</v>
      </c>
      <c r="S448" s="1">
        <v>34.75</v>
      </c>
      <c r="T448" s="1">
        <v>44.41</v>
      </c>
      <c r="U448" s="1">
        <v>170</v>
      </c>
    </row>
    <row r="449" spans="1:21">
      <c r="A449" s="32">
        <v>175</v>
      </c>
      <c r="B449" s="1">
        <v>0.89259999999999995</v>
      </c>
      <c r="C449" s="108">
        <f t="shared" si="25"/>
        <v>129.4609188</v>
      </c>
      <c r="D449" s="1">
        <v>892.3</v>
      </c>
      <c r="E449" s="1">
        <f t="shared" si="26"/>
        <v>4.6172315079878103</v>
      </c>
      <c r="F449" s="1">
        <v>0.21657999999999999</v>
      </c>
      <c r="G449" s="1">
        <v>741.02</v>
      </c>
      <c r="H449" s="1">
        <v>2772.71</v>
      </c>
      <c r="I449" s="1">
        <v>2.0905999999999998</v>
      </c>
      <c r="J449" s="1">
        <v>6.6241000000000003</v>
      </c>
      <c r="K449" s="1">
        <v>4.3860000000000001</v>
      </c>
      <c r="L449" s="1">
        <v>2.6520000000000001</v>
      </c>
      <c r="M449" s="1">
        <v>1.399</v>
      </c>
      <c r="N449" s="1">
        <v>1405</v>
      </c>
      <c r="O449" s="1">
        <v>500</v>
      </c>
      <c r="P449" s="1">
        <v>154.69999999999999</v>
      </c>
      <c r="Q449" s="1">
        <v>14.85</v>
      </c>
      <c r="R449" s="1">
        <v>675.3</v>
      </c>
      <c r="S449" s="1">
        <v>35.590000000000003</v>
      </c>
      <c r="T449" s="1">
        <v>43.3</v>
      </c>
      <c r="U449" s="1">
        <v>175</v>
      </c>
    </row>
    <row r="450" spans="1:21">
      <c r="A450" s="32">
        <v>180</v>
      </c>
      <c r="B450" s="1">
        <v>1.0027999999999999</v>
      </c>
      <c r="C450" s="108">
        <f t="shared" si="25"/>
        <v>145.44410640000001</v>
      </c>
      <c r="D450" s="1">
        <v>887</v>
      </c>
      <c r="E450" s="1">
        <f t="shared" si="26"/>
        <v>5.1588939331407344</v>
      </c>
      <c r="F450" s="1">
        <v>0.19384000000000001</v>
      </c>
      <c r="G450" s="1">
        <v>763.05</v>
      </c>
      <c r="H450" s="1">
        <v>2777.21</v>
      </c>
      <c r="I450" s="1">
        <v>2.1392000000000002</v>
      </c>
      <c r="J450" s="1">
        <v>6.5839999999999996</v>
      </c>
      <c r="K450" s="1">
        <v>4.4050000000000002</v>
      </c>
      <c r="L450" s="1">
        <v>2.7130000000000001</v>
      </c>
      <c r="M450" s="1">
        <v>1.407</v>
      </c>
      <c r="N450" s="1">
        <v>1392</v>
      </c>
      <c r="O450" s="1">
        <v>501</v>
      </c>
      <c r="P450" s="1">
        <v>150.1</v>
      </c>
      <c r="Q450" s="1">
        <v>15.03</v>
      </c>
      <c r="R450" s="1">
        <v>673.3</v>
      </c>
      <c r="S450" s="1">
        <v>36.450000000000003</v>
      </c>
      <c r="T450" s="1">
        <v>42.19</v>
      </c>
      <c r="U450" s="1">
        <v>180</v>
      </c>
    </row>
    <row r="451" spans="1:21">
      <c r="A451" s="32">
        <v>185</v>
      </c>
      <c r="B451" s="1">
        <v>1.1234999999999999</v>
      </c>
      <c r="C451" s="108">
        <f t="shared" si="25"/>
        <v>162.95019300000001</v>
      </c>
      <c r="D451" s="1">
        <v>881.6</v>
      </c>
      <c r="E451" s="1">
        <f t="shared" si="26"/>
        <v>5.7504312823461756</v>
      </c>
      <c r="F451" s="1">
        <v>0.1739</v>
      </c>
      <c r="G451" s="1">
        <v>785.19</v>
      </c>
      <c r="H451" s="1">
        <v>2781.41</v>
      </c>
      <c r="I451" s="1">
        <v>2.1875</v>
      </c>
      <c r="J451" s="1">
        <v>6.5446999999999997</v>
      </c>
      <c r="K451" s="1">
        <v>4.4249999999999998</v>
      </c>
      <c r="L451" s="1">
        <v>2.7770000000000001</v>
      </c>
      <c r="M451" s="1">
        <v>1.4159999999999999</v>
      </c>
      <c r="N451" s="1">
        <v>1378</v>
      </c>
      <c r="O451" s="1">
        <v>501.9</v>
      </c>
      <c r="P451" s="1">
        <v>145.80000000000001</v>
      </c>
      <c r="Q451" s="1">
        <v>15.2</v>
      </c>
      <c r="R451" s="1">
        <v>671.1</v>
      </c>
      <c r="S451" s="1">
        <v>37.33</v>
      </c>
      <c r="T451" s="1">
        <v>41.07</v>
      </c>
      <c r="U451" s="1">
        <v>185</v>
      </c>
    </row>
    <row r="452" spans="1:21">
      <c r="A452" s="32">
        <v>190</v>
      </c>
      <c r="B452" s="1">
        <v>1.2552000000000001</v>
      </c>
      <c r="C452" s="108">
        <f t="shared" si="25"/>
        <v>182.05169760000004</v>
      </c>
      <c r="D452" s="1">
        <v>876.1</v>
      </c>
      <c r="E452" s="1">
        <f t="shared" si="26"/>
        <v>6.3954975697109235</v>
      </c>
      <c r="F452" s="1">
        <v>0.15636</v>
      </c>
      <c r="G452" s="1">
        <v>807.43</v>
      </c>
      <c r="H452" s="1">
        <v>2785.28</v>
      </c>
      <c r="I452" s="1">
        <v>2.2355</v>
      </c>
      <c r="J452" s="1">
        <v>6.5058999999999996</v>
      </c>
      <c r="K452" s="1">
        <v>4.4470000000000001</v>
      </c>
      <c r="L452" s="1">
        <v>2.8439999999999999</v>
      </c>
      <c r="M452" s="1">
        <v>1.425</v>
      </c>
      <c r="N452" s="1">
        <v>1363</v>
      </c>
      <c r="O452" s="1">
        <v>502.7</v>
      </c>
      <c r="P452" s="1">
        <v>141.80000000000001</v>
      </c>
      <c r="Q452" s="1">
        <v>15.37</v>
      </c>
      <c r="R452" s="1">
        <v>668.8</v>
      </c>
      <c r="S452" s="1">
        <v>38.24</v>
      </c>
      <c r="T452" s="1">
        <v>39.950000000000003</v>
      </c>
      <c r="U452" s="1">
        <v>190</v>
      </c>
    </row>
    <row r="453" spans="1:21">
      <c r="A453" s="32">
        <v>195</v>
      </c>
      <c r="B453" s="1">
        <v>1.3988</v>
      </c>
      <c r="C453" s="108">
        <f t="shared" si="25"/>
        <v>202.87915440000003</v>
      </c>
      <c r="D453" s="1">
        <v>870.4</v>
      </c>
      <c r="E453" s="1">
        <f t="shared" si="26"/>
        <v>7.0977358222726954</v>
      </c>
      <c r="F453" s="1">
        <v>0.14088999999999999</v>
      </c>
      <c r="G453" s="1">
        <v>829.79</v>
      </c>
      <c r="H453" s="1">
        <v>2788.82</v>
      </c>
      <c r="I453" s="1">
        <v>2.2831999999999999</v>
      </c>
      <c r="J453" s="1">
        <v>6.4678000000000004</v>
      </c>
      <c r="K453" s="1">
        <v>4.4710000000000001</v>
      </c>
      <c r="L453" s="1">
        <v>2.915</v>
      </c>
      <c r="M453" s="1">
        <v>1.4359999999999999</v>
      </c>
      <c r="N453" s="1">
        <v>1348</v>
      </c>
      <c r="O453" s="1">
        <v>503.4</v>
      </c>
      <c r="P453" s="1">
        <v>137.9</v>
      </c>
      <c r="Q453" s="1">
        <v>15.54</v>
      </c>
      <c r="R453" s="1">
        <v>666.1</v>
      </c>
      <c r="S453" s="1">
        <v>39.159999999999997</v>
      </c>
      <c r="T453" s="1">
        <v>38.81</v>
      </c>
      <c r="U453" s="1">
        <v>195</v>
      </c>
    </row>
    <row r="454" spans="1:21">
      <c r="A454" s="32">
        <v>200</v>
      </c>
      <c r="B454" s="1">
        <v>1.5548999999999999</v>
      </c>
      <c r="C454" s="108">
        <f t="shared" si="25"/>
        <v>225.51958620000002</v>
      </c>
      <c r="D454" s="1">
        <v>864.7</v>
      </c>
      <c r="E454" s="1">
        <f t="shared" si="26"/>
        <v>7.8610172156277027</v>
      </c>
      <c r="F454" s="1">
        <v>0.12720999999999999</v>
      </c>
      <c r="G454" s="1">
        <v>852.27</v>
      </c>
      <c r="H454" s="1">
        <v>2792.01</v>
      </c>
      <c r="I454" s="1">
        <v>2.3304999999999998</v>
      </c>
      <c r="J454" s="1">
        <v>6.4302000000000001</v>
      </c>
      <c r="K454" s="1">
        <v>4.4960000000000004</v>
      </c>
      <c r="L454" s="1">
        <v>2.99</v>
      </c>
      <c r="M454" s="1">
        <v>1.4470000000000001</v>
      </c>
      <c r="N454" s="1">
        <v>1332</v>
      </c>
      <c r="O454" s="1">
        <v>503.9</v>
      </c>
      <c r="P454" s="1">
        <v>134.30000000000001</v>
      </c>
      <c r="Q454" s="1">
        <v>15.71</v>
      </c>
      <c r="R454" s="1">
        <v>663.3</v>
      </c>
      <c r="S454" s="1">
        <v>40.11</v>
      </c>
      <c r="T454" s="1">
        <v>37.67</v>
      </c>
      <c r="U454" s="1">
        <v>200</v>
      </c>
    </row>
    <row r="455" spans="1:21">
      <c r="A455" s="32">
        <v>205</v>
      </c>
      <c r="B455" s="1">
        <v>1.7242999999999999</v>
      </c>
      <c r="C455" s="108">
        <f t="shared" si="25"/>
        <v>250.0890234</v>
      </c>
      <c r="D455" s="1">
        <v>858.8</v>
      </c>
      <c r="E455" s="1">
        <f t="shared" si="26"/>
        <v>8.6896072297532143</v>
      </c>
      <c r="F455" s="1">
        <v>0.11508</v>
      </c>
      <c r="G455" s="1">
        <v>874.88</v>
      </c>
      <c r="H455" s="1">
        <v>2794.83</v>
      </c>
      <c r="I455" s="1">
        <v>2.3776999999999999</v>
      </c>
      <c r="J455" s="1">
        <v>6.3929999999999998</v>
      </c>
      <c r="K455" s="1">
        <v>4.5229999999999997</v>
      </c>
      <c r="L455" s="1">
        <v>3.0680000000000001</v>
      </c>
      <c r="M455" s="1">
        <v>1.4590000000000001</v>
      </c>
      <c r="N455" s="1">
        <v>1316</v>
      </c>
      <c r="O455" s="1">
        <v>504.3</v>
      </c>
      <c r="P455" s="1">
        <v>130.9</v>
      </c>
      <c r="Q455" s="1">
        <v>15.89</v>
      </c>
      <c r="R455" s="1">
        <v>660.3</v>
      </c>
      <c r="S455" s="1">
        <v>41.09</v>
      </c>
      <c r="T455" s="1">
        <v>36.53</v>
      </c>
      <c r="U455" s="1">
        <v>205</v>
      </c>
    </row>
    <row r="456" spans="1:21">
      <c r="A456" s="32">
        <v>210</v>
      </c>
      <c r="B456" s="1">
        <v>1.9077</v>
      </c>
      <c r="C456" s="108">
        <f t="shared" si="25"/>
        <v>276.68899260000001</v>
      </c>
      <c r="D456" s="1">
        <v>852.7</v>
      </c>
      <c r="E456" s="1">
        <f t="shared" si="26"/>
        <v>9.5886470419023873</v>
      </c>
      <c r="F456" s="1">
        <v>0.10428999999999999</v>
      </c>
      <c r="G456" s="1">
        <v>897.63</v>
      </c>
      <c r="H456" s="1">
        <v>2797.27</v>
      </c>
      <c r="I456" s="1">
        <v>2.4245000000000001</v>
      </c>
      <c r="J456" s="1">
        <v>6.3563000000000001</v>
      </c>
      <c r="K456" s="1">
        <v>4.5510000000000002</v>
      </c>
      <c r="L456" s="1">
        <v>3.15</v>
      </c>
      <c r="M456" s="1">
        <v>1.472</v>
      </c>
      <c r="N456" s="1">
        <v>1299</v>
      </c>
      <c r="O456" s="1">
        <v>504.6</v>
      </c>
      <c r="P456" s="1">
        <v>127.6</v>
      </c>
      <c r="Q456" s="1">
        <v>16.059999999999999</v>
      </c>
      <c r="R456" s="1">
        <v>657</v>
      </c>
      <c r="S456" s="1">
        <v>42.09</v>
      </c>
      <c r="T456" s="1">
        <v>35.380000000000003</v>
      </c>
      <c r="U456" s="1">
        <v>210</v>
      </c>
    </row>
    <row r="457" spans="1:21">
      <c r="A457" s="32">
        <v>215</v>
      </c>
      <c r="B457" s="1">
        <v>2.1057999999999999</v>
      </c>
      <c r="C457" s="108">
        <f t="shared" si="25"/>
        <v>305.42102040000003</v>
      </c>
      <c r="D457" s="1">
        <v>846.5</v>
      </c>
      <c r="E457" s="1">
        <f t="shared" si="26"/>
        <v>10.561892691170257</v>
      </c>
      <c r="F457" s="1">
        <v>9.468E-2</v>
      </c>
      <c r="G457" s="1">
        <v>920.53</v>
      </c>
      <c r="H457" s="1">
        <v>2799.32</v>
      </c>
      <c r="I457" s="1">
        <v>2.4712000000000001</v>
      </c>
      <c r="J457" s="1">
        <v>6.32</v>
      </c>
      <c r="K457" s="1">
        <v>4.5819999999999999</v>
      </c>
      <c r="L457" s="1">
        <v>3.2370000000000001</v>
      </c>
      <c r="M457" s="1">
        <v>1.486</v>
      </c>
      <c r="N457" s="1">
        <v>1282</v>
      </c>
      <c r="O457" s="1">
        <v>504.8</v>
      </c>
      <c r="P457" s="1">
        <v>124.5</v>
      </c>
      <c r="Q457" s="1">
        <v>16.239999999999998</v>
      </c>
      <c r="R457" s="1">
        <v>653.4</v>
      </c>
      <c r="S457" s="1">
        <v>43.11</v>
      </c>
      <c r="T457" s="1">
        <v>34.229999999999997</v>
      </c>
      <c r="U457" s="1">
        <v>215</v>
      </c>
    </row>
    <row r="458" spans="1:21">
      <c r="A458" s="32">
        <v>220</v>
      </c>
      <c r="B458" s="1">
        <v>2.3195999999999999</v>
      </c>
      <c r="C458" s="108">
        <f t="shared" si="25"/>
        <v>336.43014479999999</v>
      </c>
      <c r="D458" s="1">
        <v>840.2</v>
      </c>
      <c r="E458" s="1">
        <f t="shared" si="26"/>
        <v>11.615750958299454</v>
      </c>
      <c r="F458" s="1">
        <v>8.609E-2</v>
      </c>
      <c r="G458" s="1">
        <v>943.58</v>
      </c>
      <c r="H458" s="1">
        <v>2800.95</v>
      </c>
      <c r="I458" s="1">
        <v>2.5177</v>
      </c>
      <c r="J458" s="1">
        <v>6.2839999999999998</v>
      </c>
      <c r="K458" s="1">
        <v>4.6150000000000002</v>
      </c>
      <c r="L458" s="1">
        <v>3.3290000000000002</v>
      </c>
      <c r="M458" s="1">
        <v>1.5009999999999999</v>
      </c>
      <c r="N458" s="1">
        <v>1264</v>
      </c>
      <c r="O458" s="1">
        <v>504.8</v>
      </c>
      <c r="P458" s="1">
        <v>121.5</v>
      </c>
      <c r="Q458" s="1">
        <v>16.41</v>
      </c>
      <c r="R458" s="1">
        <v>649.70000000000005</v>
      </c>
      <c r="S458" s="1">
        <v>44.17</v>
      </c>
      <c r="T458" s="1">
        <v>33.07</v>
      </c>
      <c r="U458" s="1">
        <v>220</v>
      </c>
    </row>
    <row r="459" spans="1:21">
      <c r="A459" s="32">
        <v>225</v>
      </c>
      <c r="B459" s="1">
        <v>2.5497000000000001</v>
      </c>
      <c r="C459" s="108">
        <f t="shared" ref="C459:C522" si="27">B459*145.038</f>
        <v>369.80338860000006</v>
      </c>
      <c r="D459" s="1">
        <v>833.7</v>
      </c>
      <c r="E459" s="1">
        <f t="shared" ref="E459:E522" si="28">1/F459</f>
        <v>12.755102040816327</v>
      </c>
      <c r="F459" s="1">
        <v>7.8399999999999997E-2</v>
      </c>
      <c r="G459" s="1">
        <v>966.8</v>
      </c>
      <c r="H459" s="1">
        <v>2802.15</v>
      </c>
      <c r="I459" s="1">
        <v>2.5640000000000001</v>
      </c>
      <c r="J459" s="1">
        <v>6.2483000000000004</v>
      </c>
      <c r="K459" s="1">
        <v>4.6500000000000004</v>
      </c>
      <c r="L459" s="1">
        <v>3.4260000000000002</v>
      </c>
      <c r="M459" s="1">
        <v>1.518</v>
      </c>
      <c r="N459" s="1">
        <v>1246</v>
      </c>
      <c r="O459" s="1">
        <v>504.6</v>
      </c>
      <c r="P459" s="1">
        <v>118.7</v>
      </c>
      <c r="Q459" s="1">
        <v>16.59</v>
      </c>
      <c r="R459" s="1">
        <v>645.6</v>
      </c>
      <c r="S459" s="1">
        <v>45.26</v>
      </c>
      <c r="T459" s="1">
        <v>31.9</v>
      </c>
      <c r="U459" s="1">
        <v>225</v>
      </c>
    </row>
    <row r="460" spans="1:21">
      <c r="A460" s="32">
        <v>230</v>
      </c>
      <c r="B460" s="1">
        <v>2.7970999999999999</v>
      </c>
      <c r="C460" s="108">
        <f t="shared" si="27"/>
        <v>405.68578980000001</v>
      </c>
      <c r="D460" s="1">
        <v>827.1</v>
      </c>
      <c r="E460" s="1">
        <f t="shared" si="28"/>
        <v>13.986013986013987</v>
      </c>
      <c r="F460" s="1">
        <v>7.1499999999999994E-2</v>
      </c>
      <c r="G460" s="1">
        <v>990.19</v>
      </c>
      <c r="H460" s="1">
        <v>2802.9</v>
      </c>
      <c r="I460" s="1">
        <v>2.6101000000000001</v>
      </c>
      <c r="J460" s="1">
        <v>6.2127999999999997</v>
      </c>
      <c r="K460" s="1">
        <v>4.6879999999999997</v>
      </c>
      <c r="L460" s="1">
        <v>3.528</v>
      </c>
      <c r="M460" s="1">
        <v>1.536</v>
      </c>
      <c r="N460" s="1">
        <v>1228</v>
      </c>
      <c r="O460" s="1">
        <v>504.4</v>
      </c>
      <c r="P460" s="1">
        <v>116</v>
      </c>
      <c r="Q460" s="1">
        <v>16.760000000000002</v>
      </c>
      <c r="R460" s="1">
        <v>641.29999999999995</v>
      </c>
      <c r="S460" s="1">
        <v>46.38</v>
      </c>
      <c r="T460" s="1">
        <v>30.74</v>
      </c>
      <c r="U460" s="1">
        <v>230</v>
      </c>
    </row>
    <row r="461" spans="1:21">
      <c r="A461" s="32">
        <v>235</v>
      </c>
      <c r="B461" s="1">
        <v>3.0625</v>
      </c>
      <c r="C461" s="108">
        <f t="shared" si="27"/>
        <v>444.17887500000006</v>
      </c>
      <c r="D461" s="1">
        <v>820.3</v>
      </c>
      <c r="E461" s="1">
        <f t="shared" si="28"/>
        <v>15.313935681470138</v>
      </c>
      <c r="F461" s="1">
        <v>6.5299999999999997E-2</v>
      </c>
      <c r="G461" s="1">
        <v>1013.77</v>
      </c>
      <c r="H461" s="1">
        <v>2803.17</v>
      </c>
      <c r="I461" s="1">
        <v>2.6560999999999999</v>
      </c>
      <c r="J461" s="1">
        <v>6.1775000000000002</v>
      </c>
      <c r="K461" s="1">
        <v>4.7279999999999998</v>
      </c>
      <c r="L461" s="1">
        <v>3.6379999999999999</v>
      </c>
      <c r="M461" s="1">
        <v>1.556</v>
      </c>
      <c r="N461" s="1">
        <v>1209</v>
      </c>
      <c r="O461" s="1">
        <v>503.9</v>
      </c>
      <c r="P461" s="1">
        <v>113.4</v>
      </c>
      <c r="Q461" s="1">
        <v>16.940000000000001</v>
      </c>
      <c r="R461" s="1">
        <v>636.70000000000005</v>
      </c>
      <c r="S461" s="1">
        <v>47.53</v>
      </c>
      <c r="T461" s="1">
        <v>29.57</v>
      </c>
      <c r="U461" s="1">
        <v>235</v>
      </c>
    </row>
    <row r="462" spans="1:21">
      <c r="A462" s="32">
        <v>240</v>
      </c>
      <c r="B462" s="1">
        <v>3.3469000000000002</v>
      </c>
      <c r="C462" s="108">
        <f t="shared" si="27"/>
        <v>485.42768220000005</v>
      </c>
      <c r="D462" s="1">
        <v>813.4</v>
      </c>
      <c r="E462" s="1">
        <f t="shared" si="28"/>
        <v>16.75041876046901</v>
      </c>
      <c r="F462" s="1">
        <v>5.9700000000000003E-2</v>
      </c>
      <c r="G462" s="1">
        <v>1037.55</v>
      </c>
      <c r="H462" s="1">
        <v>2802.96</v>
      </c>
      <c r="I462" s="1">
        <v>2.702</v>
      </c>
      <c r="J462" s="1">
        <v>6.1422999999999996</v>
      </c>
      <c r="K462" s="1">
        <v>4.7720000000000002</v>
      </c>
      <c r="L462" s="1">
        <v>3.754</v>
      </c>
      <c r="M462" s="1">
        <v>1.5780000000000001</v>
      </c>
      <c r="N462" s="1">
        <v>1189</v>
      </c>
      <c r="O462" s="1">
        <v>503.3</v>
      </c>
      <c r="P462" s="1">
        <v>110.9</v>
      </c>
      <c r="Q462" s="1">
        <v>17.12</v>
      </c>
      <c r="R462" s="1">
        <v>631.79999999999995</v>
      </c>
      <c r="S462" s="1">
        <v>48.73</v>
      </c>
      <c r="T462" s="1">
        <v>28.39</v>
      </c>
      <c r="U462" s="1">
        <v>240</v>
      </c>
    </row>
    <row r="463" spans="1:21">
      <c r="A463" s="32">
        <v>245</v>
      </c>
      <c r="B463" s="1">
        <v>3.6511999999999998</v>
      </c>
      <c r="C463" s="108">
        <f t="shared" si="27"/>
        <v>529.56274559999997</v>
      </c>
      <c r="D463" s="1">
        <v>806.2</v>
      </c>
      <c r="E463" s="1">
        <f t="shared" si="28"/>
        <v>18.298261665141812</v>
      </c>
      <c r="F463" s="1">
        <v>5.4649999999999997E-2</v>
      </c>
      <c r="G463" s="1">
        <v>1061.55</v>
      </c>
      <c r="H463" s="1">
        <v>2802.22</v>
      </c>
      <c r="I463" s="1">
        <v>2.7477999999999998</v>
      </c>
      <c r="J463" s="1">
        <v>6.1071999999999997</v>
      </c>
      <c r="K463" s="1">
        <v>4.819</v>
      </c>
      <c r="L463" s="1">
        <v>3.8780000000000001</v>
      </c>
      <c r="M463" s="1">
        <v>1.601</v>
      </c>
      <c r="N463" s="1">
        <v>1169</v>
      </c>
      <c r="O463" s="1">
        <v>502.6</v>
      </c>
      <c r="P463" s="1">
        <v>108.4</v>
      </c>
      <c r="Q463" s="1">
        <v>17.309999999999999</v>
      </c>
      <c r="R463" s="1">
        <v>626.70000000000005</v>
      </c>
      <c r="S463" s="1">
        <v>49.97</v>
      </c>
      <c r="T463" s="1">
        <v>27.22</v>
      </c>
      <c r="U463" s="1">
        <v>245</v>
      </c>
    </row>
    <row r="464" spans="1:21">
      <c r="A464" s="32">
        <v>250</v>
      </c>
      <c r="B464" s="1">
        <v>3.9762</v>
      </c>
      <c r="C464" s="108">
        <f t="shared" si="27"/>
        <v>576.70009560000005</v>
      </c>
      <c r="D464" s="1">
        <v>798.9</v>
      </c>
      <c r="E464" s="1">
        <f t="shared" si="28"/>
        <v>19.968051118210862</v>
      </c>
      <c r="F464" s="1">
        <v>5.008E-2</v>
      </c>
      <c r="G464" s="1">
        <v>1085.77</v>
      </c>
      <c r="H464" s="1">
        <v>2800.93</v>
      </c>
      <c r="I464" s="1">
        <v>2.7934999999999999</v>
      </c>
      <c r="J464" s="1">
        <v>6.0720999999999998</v>
      </c>
      <c r="K464" s="1">
        <v>4.87</v>
      </c>
      <c r="L464" s="1">
        <v>4.0110000000000001</v>
      </c>
      <c r="M464" s="1">
        <v>1.627</v>
      </c>
      <c r="N464" s="1">
        <v>1148</v>
      </c>
      <c r="O464" s="1">
        <v>501.6</v>
      </c>
      <c r="P464" s="1">
        <v>106.1</v>
      </c>
      <c r="Q464" s="1">
        <v>17.489999999999998</v>
      </c>
      <c r="R464" s="1">
        <v>621.20000000000005</v>
      </c>
      <c r="S464" s="1">
        <v>51.26</v>
      </c>
      <c r="T464" s="1">
        <v>26.04</v>
      </c>
      <c r="U464" s="1">
        <v>250</v>
      </c>
    </row>
    <row r="465" spans="1:21">
      <c r="A465" s="32">
        <v>255</v>
      </c>
      <c r="B465" s="1">
        <v>4.3228999999999997</v>
      </c>
      <c r="C465" s="108">
        <f t="shared" si="27"/>
        <v>626.98477019999996</v>
      </c>
      <c r="D465" s="1">
        <v>791.4</v>
      </c>
      <c r="E465" s="1">
        <f t="shared" si="28"/>
        <v>21.767522855898999</v>
      </c>
      <c r="F465" s="1">
        <v>4.5940000000000002E-2</v>
      </c>
      <c r="G465" s="1">
        <v>1110.23</v>
      </c>
      <c r="H465" s="1">
        <v>2799.07</v>
      </c>
      <c r="I465" s="1">
        <v>2.8391999999999999</v>
      </c>
      <c r="J465" s="1">
        <v>6.0369000000000002</v>
      </c>
      <c r="K465" s="1">
        <v>4.9249999999999998</v>
      </c>
      <c r="L465" s="1">
        <v>4.1529999999999996</v>
      </c>
      <c r="M465" s="1">
        <v>1.655</v>
      </c>
      <c r="N465" s="1">
        <v>1127</v>
      </c>
      <c r="O465" s="1">
        <v>500.5</v>
      </c>
      <c r="P465" s="1">
        <v>103.9</v>
      </c>
      <c r="Q465" s="1">
        <v>17.68</v>
      </c>
      <c r="R465" s="1">
        <v>615.4</v>
      </c>
      <c r="S465" s="1">
        <v>52.61</v>
      </c>
      <c r="T465" s="1">
        <v>24.87</v>
      </c>
      <c r="U465" s="1">
        <v>255</v>
      </c>
    </row>
    <row r="466" spans="1:21">
      <c r="A466" s="32">
        <v>260</v>
      </c>
      <c r="B466" s="1">
        <v>4.6923000000000004</v>
      </c>
      <c r="C466" s="108">
        <f t="shared" si="27"/>
        <v>680.56180740000013</v>
      </c>
      <c r="D466" s="1">
        <v>783.6</v>
      </c>
      <c r="E466" s="1">
        <f t="shared" si="28"/>
        <v>23.713540431586438</v>
      </c>
      <c r="F466" s="1">
        <v>4.2169999999999999E-2</v>
      </c>
      <c r="G466" s="1">
        <v>1134.96</v>
      </c>
      <c r="H466" s="1">
        <v>2796.6</v>
      </c>
      <c r="I466" s="1">
        <v>2.8849</v>
      </c>
      <c r="J466" s="1">
        <v>6.0015999999999998</v>
      </c>
      <c r="K466" s="1">
        <v>4.9859999999999998</v>
      </c>
      <c r="L466" s="1">
        <v>4.3079999999999998</v>
      </c>
      <c r="M466" s="1">
        <v>1.6859999999999999</v>
      </c>
      <c r="N466" s="1">
        <v>1105</v>
      </c>
      <c r="O466" s="1">
        <v>499.2</v>
      </c>
      <c r="P466" s="1">
        <v>101.7</v>
      </c>
      <c r="Q466" s="1">
        <v>17.88</v>
      </c>
      <c r="R466" s="1">
        <v>609.20000000000005</v>
      </c>
      <c r="S466" s="1">
        <v>54.03</v>
      </c>
      <c r="T466" s="1">
        <v>23.69</v>
      </c>
      <c r="U466" s="1">
        <v>260</v>
      </c>
    </row>
    <row r="467" spans="1:21">
      <c r="A467" s="32">
        <v>265</v>
      </c>
      <c r="B467" s="1">
        <v>5.0853000000000002</v>
      </c>
      <c r="C467" s="108">
        <f t="shared" si="27"/>
        <v>737.56174140000007</v>
      </c>
      <c r="D467" s="1">
        <v>775.7</v>
      </c>
      <c r="E467" s="1">
        <f t="shared" si="28"/>
        <v>25.806451612903228</v>
      </c>
      <c r="F467" s="1">
        <v>3.875E-2</v>
      </c>
      <c r="G467" s="1">
        <v>1159.96</v>
      </c>
      <c r="H467" s="1">
        <v>2793.49</v>
      </c>
      <c r="I467" s="1">
        <v>2.9306999999999999</v>
      </c>
      <c r="J467" s="1">
        <v>5.9661</v>
      </c>
      <c r="K467" s="1">
        <v>5.0510000000000002</v>
      </c>
      <c r="L467" s="1">
        <v>4.4749999999999996</v>
      </c>
      <c r="M467" s="1">
        <v>1.72</v>
      </c>
      <c r="N467" s="1">
        <v>1083</v>
      </c>
      <c r="O467" s="1">
        <v>497.7</v>
      </c>
      <c r="P467" s="1">
        <v>99.6</v>
      </c>
      <c r="Q467" s="1">
        <v>18.07</v>
      </c>
      <c r="R467" s="1">
        <v>602.79999999999995</v>
      </c>
      <c r="S467" s="1">
        <v>55.53</v>
      </c>
      <c r="T467" s="1">
        <v>22.51</v>
      </c>
      <c r="U467" s="1">
        <v>265</v>
      </c>
    </row>
    <row r="468" spans="1:21">
      <c r="A468" s="32">
        <v>270</v>
      </c>
      <c r="B468" s="1">
        <v>5.5030000000000001</v>
      </c>
      <c r="C468" s="108">
        <f t="shared" si="27"/>
        <v>798.14411400000006</v>
      </c>
      <c r="D468" s="1">
        <v>767.5</v>
      </c>
      <c r="E468" s="1">
        <f t="shared" si="28"/>
        <v>28.07411566535654</v>
      </c>
      <c r="F468" s="1">
        <v>3.5619999999999999E-2</v>
      </c>
      <c r="G468" s="1">
        <v>1185.27</v>
      </c>
      <c r="H468" s="1">
        <v>2789.69</v>
      </c>
      <c r="I468" s="1">
        <v>2.9765000000000001</v>
      </c>
      <c r="J468" s="1">
        <v>5.9303999999999997</v>
      </c>
      <c r="K468" s="1">
        <v>5.1230000000000002</v>
      </c>
      <c r="L468" s="1">
        <v>4.6559999999999997</v>
      </c>
      <c r="M468" s="1">
        <v>1.7569999999999999</v>
      </c>
      <c r="N468" s="1">
        <v>1060</v>
      </c>
      <c r="O468" s="1">
        <v>496</v>
      </c>
      <c r="P468" s="1">
        <v>97.5</v>
      </c>
      <c r="Q468" s="1">
        <v>18.28</v>
      </c>
      <c r="R468" s="1">
        <v>595.9</v>
      </c>
      <c r="S468" s="1">
        <v>57.11</v>
      </c>
      <c r="T468" s="1">
        <v>21.34</v>
      </c>
      <c r="U468" s="1">
        <v>270</v>
      </c>
    </row>
    <row r="469" spans="1:21">
      <c r="A469" s="32">
        <v>275</v>
      </c>
      <c r="B469" s="1">
        <v>5.9463999999999997</v>
      </c>
      <c r="C469" s="108">
        <f t="shared" si="27"/>
        <v>862.45396319999998</v>
      </c>
      <c r="D469" s="1">
        <v>759</v>
      </c>
      <c r="E469" s="1">
        <f t="shared" si="28"/>
        <v>30.515715593530668</v>
      </c>
      <c r="F469" s="1">
        <v>3.2770000000000001E-2</v>
      </c>
      <c r="G469" s="1">
        <v>1210.9000000000001</v>
      </c>
      <c r="H469" s="1">
        <v>2785.17</v>
      </c>
      <c r="I469" s="1">
        <v>3.0224000000000002</v>
      </c>
      <c r="J469" s="1">
        <v>5.8944000000000001</v>
      </c>
      <c r="K469" s="1">
        <v>5.202</v>
      </c>
      <c r="L469" s="1">
        <v>4.8550000000000004</v>
      </c>
      <c r="M469" s="1">
        <v>1.798</v>
      </c>
      <c r="N469" s="1">
        <v>1037</v>
      </c>
      <c r="O469" s="1">
        <v>494.1</v>
      </c>
      <c r="P469" s="1">
        <v>95.5</v>
      </c>
      <c r="Q469" s="1">
        <v>18.48</v>
      </c>
      <c r="R469" s="1">
        <v>588.70000000000005</v>
      </c>
      <c r="S469" s="1">
        <v>58.8</v>
      </c>
      <c r="T469" s="1">
        <v>20.16</v>
      </c>
      <c r="U469" s="1">
        <v>275</v>
      </c>
    </row>
    <row r="470" spans="1:21">
      <c r="A470" s="32">
        <v>280</v>
      </c>
      <c r="B470" s="1">
        <v>6.4165999999999999</v>
      </c>
      <c r="C470" s="108">
        <f t="shared" si="27"/>
        <v>930.65083079999999</v>
      </c>
      <c r="D470" s="1">
        <v>750.3</v>
      </c>
      <c r="E470" s="1">
        <f t="shared" si="28"/>
        <v>33.16749585406302</v>
      </c>
      <c r="F470" s="1">
        <v>3.015E-2</v>
      </c>
      <c r="G470" s="1">
        <v>1236.8800000000001</v>
      </c>
      <c r="H470" s="1">
        <v>2779.87</v>
      </c>
      <c r="I470" s="1">
        <v>3.0684999999999998</v>
      </c>
      <c r="J470" s="1">
        <v>5.8578999999999999</v>
      </c>
      <c r="K470" s="1">
        <v>5.2889999999999997</v>
      </c>
      <c r="L470" s="1">
        <v>5.0730000000000004</v>
      </c>
      <c r="M470" s="1">
        <v>1.845</v>
      </c>
      <c r="N470" s="1">
        <v>1013</v>
      </c>
      <c r="O470" s="1">
        <v>491.9</v>
      </c>
      <c r="P470" s="1">
        <v>93.5</v>
      </c>
      <c r="Q470" s="1">
        <v>18.7</v>
      </c>
      <c r="R470" s="1">
        <v>581.1</v>
      </c>
      <c r="S470" s="1">
        <v>60.61</v>
      </c>
      <c r="T470" s="1">
        <v>18.989999999999998</v>
      </c>
      <c r="U470" s="1">
        <v>280</v>
      </c>
    </row>
    <row r="471" spans="1:21">
      <c r="A471" s="32">
        <v>285</v>
      </c>
      <c r="B471" s="1">
        <v>6.9146999999999998</v>
      </c>
      <c r="C471" s="108">
        <f t="shared" si="27"/>
        <v>1002.8942586000001</v>
      </c>
      <c r="D471" s="1">
        <v>741.3</v>
      </c>
      <c r="E471" s="1">
        <f t="shared" si="28"/>
        <v>36.023054755043226</v>
      </c>
      <c r="F471" s="1">
        <v>2.776E-2</v>
      </c>
      <c r="G471" s="1">
        <v>1263.25</v>
      </c>
      <c r="H471" s="1">
        <v>2773.73</v>
      </c>
      <c r="I471" s="1">
        <v>3.1147</v>
      </c>
      <c r="J471" s="1">
        <v>5.8209</v>
      </c>
      <c r="K471" s="1">
        <v>5.3849999999999998</v>
      </c>
      <c r="L471" s="1">
        <v>5.3140000000000001</v>
      </c>
      <c r="M471" s="1">
        <v>1.8959999999999999</v>
      </c>
      <c r="N471" s="1">
        <v>988</v>
      </c>
      <c r="O471" s="1">
        <v>489.5</v>
      </c>
      <c r="P471" s="1">
        <v>91.6</v>
      </c>
      <c r="Q471" s="1">
        <v>18.920000000000002</v>
      </c>
      <c r="R471" s="1">
        <v>573.20000000000005</v>
      </c>
      <c r="S471" s="1">
        <v>62.57</v>
      </c>
      <c r="T471" s="1">
        <v>17.829999999999998</v>
      </c>
      <c r="U471" s="1">
        <v>285</v>
      </c>
    </row>
    <row r="472" spans="1:21">
      <c r="A472" s="32">
        <v>290</v>
      </c>
      <c r="B472" s="1">
        <v>7.4417999999999997</v>
      </c>
      <c r="C472" s="108">
        <f t="shared" si="27"/>
        <v>1079.3437884</v>
      </c>
      <c r="D472" s="1">
        <v>731.9</v>
      </c>
      <c r="E472" s="1">
        <f t="shared" si="28"/>
        <v>39.138943248532293</v>
      </c>
      <c r="F472" s="1">
        <v>2.555E-2</v>
      </c>
      <c r="G472" s="1">
        <v>1290.03</v>
      </c>
      <c r="H472" s="1">
        <v>2766.7</v>
      </c>
      <c r="I472" s="1">
        <v>3.1612</v>
      </c>
      <c r="J472" s="1">
        <v>5.7834000000000003</v>
      </c>
      <c r="K472" s="1">
        <v>5.4930000000000003</v>
      </c>
      <c r="L472" s="1">
        <v>5.5819999999999999</v>
      </c>
      <c r="M472" s="1">
        <v>1.954</v>
      </c>
      <c r="N472" s="1">
        <v>962</v>
      </c>
      <c r="O472" s="1">
        <v>486.9</v>
      </c>
      <c r="P472" s="1">
        <v>89.7</v>
      </c>
      <c r="Q472" s="1">
        <v>19.149999999999999</v>
      </c>
      <c r="R472" s="1">
        <v>565</v>
      </c>
      <c r="S472" s="1">
        <v>64.709999999999994</v>
      </c>
      <c r="T472" s="1">
        <v>16.66</v>
      </c>
      <c r="U472" s="1">
        <v>290</v>
      </c>
    </row>
    <row r="473" spans="1:21">
      <c r="A473" s="32">
        <v>295</v>
      </c>
      <c r="B473" s="1">
        <v>7.9991000000000003</v>
      </c>
      <c r="C473" s="108">
        <f t="shared" si="27"/>
        <v>1160.1734658</v>
      </c>
      <c r="D473" s="1">
        <v>722.2</v>
      </c>
      <c r="E473" s="1">
        <f t="shared" si="28"/>
        <v>42.498937526561839</v>
      </c>
      <c r="F473" s="1">
        <v>2.3529999999999999E-2</v>
      </c>
      <c r="G473" s="1">
        <v>1317.27</v>
      </c>
      <c r="H473" s="1">
        <v>2758.7</v>
      </c>
      <c r="I473" s="1">
        <v>3.2080000000000002</v>
      </c>
      <c r="J473" s="1">
        <v>5.7450999999999999</v>
      </c>
      <c r="K473" s="1">
        <v>5.6139999999999999</v>
      </c>
      <c r="L473" s="1">
        <v>5.8819999999999997</v>
      </c>
      <c r="M473" s="1">
        <v>2.0190000000000001</v>
      </c>
      <c r="N473" s="1">
        <v>936</v>
      </c>
      <c r="O473" s="1">
        <v>483.9</v>
      </c>
      <c r="P473" s="1">
        <v>87.8</v>
      </c>
      <c r="Q473" s="1">
        <v>19.399999999999999</v>
      </c>
      <c r="R473" s="1">
        <v>556.29999999999995</v>
      </c>
      <c r="S473" s="1">
        <v>67.05</v>
      </c>
      <c r="T473" s="1">
        <v>15.51</v>
      </c>
      <c r="U473" s="1">
        <v>295</v>
      </c>
    </row>
    <row r="474" spans="1:21">
      <c r="A474" s="32">
        <v>300</v>
      </c>
      <c r="B474" s="1">
        <v>8.5878999999999994</v>
      </c>
      <c r="C474" s="108">
        <f t="shared" si="27"/>
        <v>1245.5718402</v>
      </c>
      <c r="D474" s="1">
        <v>712.1</v>
      </c>
      <c r="E474" s="1">
        <f t="shared" si="28"/>
        <v>46.168051708217916</v>
      </c>
      <c r="F474" s="1">
        <v>2.1659999999999999E-2</v>
      </c>
      <c r="G474" s="1">
        <v>1345.01</v>
      </c>
      <c r="H474" s="1">
        <v>2749.64</v>
      </c>
      <c r="I474" s="1">
        <v>3.2551999999999999</v>
      </c>
      <c r="J474" s="1">
        <v>5.7058999999999997</v>
      </c>
      <c r="K474" s="1">
        <v>5.75</v>
      </c>
      <c r="L474" s="1">
        <v>6.22</v>
      </c>
      <c r="M474" s="1">
        <v>2.0939999999999999</v>
      </c>
      <c r="N474" s="1">
        <v>909</v>
      </c>
      <c r="O474" s="1">
        <v>480.7</v>
      </c>
      <c r="P474" s="1">
        <v>85.9</v>
      </c>
      <c r="Q474" s="1">
        <v>19.649999999999999</v>
      </c>
      <c r="R474" s="1">
        <v>547.4</v>
      </c>
      <c r="S474" s="1">
        <v>69.650000000000006</v>
      </c>
      <c r="T474" s="1">
        <v>14.36</v>
      </c>
      <c r="U474" s="1">
        <v>300</v>
      </c>
    </row>
    <row r="475" spans="1:21">
      <c r="A475" s="32">
        <v>310</v>
      </c>
      <c r="B475" s="1">
        <v>9.8651</v>
      </c>
      <c r="C475" s="108">
        <f t="shared" si="27"/>
        <v>1430.8143738000001</v>
      </c>
      <c r="D475" s="1">
        <v>690.7</v>
      </c>
      <c r="E475" s="1">
        <f t="shared" si="28"/>
        <v>54.555373704309879</v>
      </c>
      <c r="F475" s="1">
        <v>1.8329999999999999E-2</v>
      </c>
      <c r="G475" s="1">
        <v>1402.22</v>
      </c>
      <c r="H475" s="1">
        <v>2727.95</v>
      </c>
      <c r="I475" s="1">
        <v>3.351</v>
      </c>
      <c r="J475" s="1">
        <v>5.6243999999999996</v>
      </c>
      <c r="K475" s="1">
        <v>6.085</v>
      </c>
      <c r="L475" s="1">
        <v>7.0449999999999999</v>
      </c>
      <c r="M475" s="1">
        <v>2.2770000000000001</v>
      </c>
      <c r="N475" s="1">
        <v>853</v>
      </c>
      <c r="O475" s="1">
        <v>473.3</v>
      </c>
      <c r="P475" s="1">
        <v>82.2</v>
      </c>
      <c r="Q475" s="1">
        <v>20.21</v>
      </c>
      <c r="R475" s="1">
        <v>528.70000000000005</v>
      </c>
      <c r="S475" s="1">
        <v>75.84</v>
      </c>
      <c r="T475" s="1">
        <v>12.09</v>
      </c>
      <c r="U475" s="1">
        <v>310</v>
      </c>
    </row>
    <row r="476" spans="1:21">
      <c r="A476" s="32">
        <v>320</v>
      </c>
      <c r="B476" s="1">
        <v>11.2843</v>
      </c>
      <c r="C476" s="108">
        <f t="shared" si="27"/>
        <v>1636.6523034000002</v>
      </c>
      <c r="D476" s="1">
        <v>667.1</v>
      </c>
      <c r="E476" s="1">
        <f t="shared" si="28"/>
        <v>64.641241111829345</v>
      </c>
      <c r="F476" s="1">
        <v>1.5469999999999999E-2</v>
      </c>
      <c r="G476" s="1">
        <v>1462.22</v>
      </c>
      <c r="H476" s="1">
        <v>2700.59</v>
      </c>
      <c r="I476" s="1">
        <v>3.4493999999999998</v>
      </c>
      <c r="J476" s="1">
        <v>5.5372000000000003</v>
      </c>
      <c r="K476" s="1">
        <v>6.5369999999999999</v>
      </c>
      <c r="L476" s="1">
        <v>8.1590000000000007</v>
      </c>
      <c r="M476" s="1">
        <v>2.528</v>
      </c>
      <c r="N476" s="1">
        <v>793</v>
      </c>
      <c r="O476" s="1">
        <v>464.4</v>
      </c>
      <c r="P476" s="1">
        <v>78.400000000000006</v>
      </c>
      <c r="Q476" s="1">
        <v>20.85</v>
      </c>
      <c r="R476" s="1">
        <v>509.2</v>
      </c>
      <c r="S476" s="1">
        <v>83.91</v>
      </c>
      <c r="T476" s="1">
        <v>9.86</v>
      </c>
      <c r="U476" s="1">
        <v>320</v>
      </c>
    </row>
    <row r="477" spans="1:21">
      <c r="A477" s="32">
        <v>330</v>
      </c>
      <c r="B477" s="1">
        <v>12.8581</v>
      </c>
      <c r="C477" s="108">
        <f t="shared" si="27"/>
        <v>1864.9131078000003</v>
      </c>
      <c r="D477" s="1">
        <v>640.79999999999995</v>
      </c>
      <c r="E477" s="1">
        <f t="shared" si="28"/>
        <v>77.04160246533128</v>
      </c>
      <c r="F477" s="1">
        <v>1.298E-2</v>
      </c>
      <c r="G477" s="1">
        <v>1525.87</v>
      </c>
      <c r="H477" s="1">
        <v>2666.03</v>
      </c>
      <c r="I477" s="1">
        <v>3.5518000000000001</v>
      </c>
      <c r="J477" s="1">
        <v>5.4421999999999997</v>
      </c>
      <c r="K477" s="1">
        <v>7.1859999999999999</v>
      </c>
      <c r="L477" s="1">
        <v>9.7530000000000001</v>
      </c>
      <c r="M477" s="1">
        <v>2.8889999999999998</v>
      </c>
      <c r="N477" s="1">
        <v>729</v>
      </c>
      <c r="O477" s="1">
        <v>453.7</v>
      </c>
      <c r="P477" s="1">
        <v>74.5</v>
      </c>
      <c r="Q477" s="1">
        <v>21.61</v>
      </c>
      <c r="R477" s="1">
        <v>489.1</v>
      </c>
      <c r="S477" s="1">
        <v>94.94</v>
      </c>
      <c r="T477" s="1">
        <v>7.7</v>
      </c>
      <c r="U477" s="1">
        <v>330</v>
      </c>
    </row>
    <row r="478" spans="1:21">
      <c r="A478" s="32">
        <v>340</v>
      </c>
      <c r="B478" s="1">
        <v>14.6007</v>
      </c>
      <c r="C478" s="108">
        <f t="shared" si="27"/>
        <v>2117.6563266000003</v>
      </c>
      <c r="D478" s="1">
        <v>610.70000000000005</v>
      </c>
      <c r="E478" s="1">
        <f t="shared" si="28"/>
        <v>92.764378478664199</v>
      </c>
      <c r="F478" s="1">
        <v>1.078E-2</v>
      </c>
      <c r="G478" s="1">
        <v>1594.53</v>
      </c>
      <c r="H478" s="1">
        <v>2621.85</v>
      </c>
      <c r="I478" s="1">
        <v>3.6600999999999999</v>
      </c>
      <c r="J478" s="1">
        <v>5.3356000000000003</v>
      </c>
      <c r="K478" s="1">
        <v>8.2100000000000009</v>
      </c>
      <c r="L478" s="1">
        <v>12.24</v>
      </c>
      <c r="M478" s="1">
        <v>3.45</v>
      </c>
      <c r="N478" s="1">
        <v>658</v>
      </c>
      <c r="O478" s="1">
        <v>440.7</v>
      </c>
      <c r="P478" s="1">
        <v>70.400000000000006</v>
      </c>
      <c r="Q478" s="1">
        <v>22.55</v>
      </c>
      <c r="R478" s="1">
        <v>468.5</v>
      </c>
      <c r="S478" s="1">
        <v>110.91</v>
      </c>
      <c r="T478" s="1">
        <v>5.63</v>
      </c>
      <c r="U478" s="1">
        <v>340</v>
      </c>
    </row>
    <row r="479" spans="1:21">
      <c r="A479" s="32">
        <v>350</v>
      </c>
      <c r="B479" s="1">
        <v>16.529399999999999</v>
      </c>
      <c r="C479" s="108">
        <f t="shared" si="27"/>
        <v>2397.3911171999998</v>
      </c>
      <c r="D479" s="1">
        <v>574.70000000000005</v>
      </c>
      <c r="E479" s="1">
        <f t="shared" si="28"/>
        <v>113.63636363636363</v>
      </c>
      <c r="F479" s="1">
        <v>8.8000000000000005E-3</v>
      </c>
      <c r="G479" s="1">
        <v>1670.89</v>
      </c>
      <c r="H479" s="1">
        <v>2563.64</v>
      </c>
      <c r="I479" s="1">
        <v>3.7784</v>
      </c>
      <c r="J479" s="1">
        <v>5.2110000000000003</v>
      </c>
      <c r="K479" s="1">
        <v>10.119999999999999</v>
      </c>
      <c r="L479" s="1">
        <v>16.690000000000001</v>
      </c>
      <c r="M479" s="1">
        <v>4.46</v>
      </c>
      <c r="N479" s="1">
        <v>578</v>
      </c>
      <c r="O479" s="1">
        <v>424.4</v>
      </c>
      <c r="P479" s="1">
        <v>65.900000000000006</v>
      </c>
      <c r="Q479" s="1">
        <v>23.82</v>
      </c>
      <c r="R479" s="1">
        <v>447.4</v>
      </c>
      <c r="S479" s="1">
        <v>135.94999999999999</v>
      </c>
      <c r="T479" s="1">
        <v>3.67</v>
      </c>
      <c r="U479" s="1">
        <v>350</v>
      </c>
    </row>
    <row r="480" spans="1:21">
      <c r="A480" s="32">
        <v>360</v>
      </c>
      <c r="B480" s="1">
        <v>18.666</v>
      </c>
      <c r="C480" s="108">
        <f t="shared" si="27"/>
        <v>2707.2793080000001</v>
      </c>
      <c r="D480" s="1">
        <v>527.6</v>
      </c>
      <c r="E480" s="1">
        <f t="shared" si="28"/>
        <v>143.88489208633095</v>
      </c>
      <c r="F480" s="1">
        <v>6.9499999999999996E-3</v>
      </c>
      <c r="G480" s="1">
        <v>1761.66</v>
      </c>
      <c r="H480" s="1">
        <v>2481.4899999999998</v>
      </c>
      <c r="I480" s="1">
        <v>3.9167000000000001</v>
      </c>
      <c r="J480" s="1">
        <v>5.0536000000000003</v>
      </c>
      <c r="K480" s="1">
        <v>15</v>
      </c>
      <c r="L480" s="1">
        <v>27.36</v>
      </c>
      <c r="M480" s="1">
        <v>6.83</v>
      </c>
      <c r="N480" s="1">
        <v>480</v>
      </c>
      <c r="O480" s="1">
        <v>402.4</v>
      </c>
      <c r="P480" s="1">
        <v>60.3</v>
      </c>
      <c r="Q480" s="1">
        <v>25.72</v>
      </c>
      <c r="R480" s="1">
        <v>425.7</v>
      </c>
      <c r="S480" s="1">
        <v>181.51</v>
      </c>
      <c r="T480" s="1">
        <v>1.88</v>
      </c>
      <c r="U480" s="1">
        <v>360</v>
      </c>
    </row>
    <row r="481" spans="1:21">
      <c r="A481" s="32">
        <v>370</v>
      </c>
      <c r="B481" s="1">
        <v>21.043600000000001</v>
      </c>
      <c r="C481" s="108">
        <f t="shared" si="27"/>
        <v>3052.1216568000004</v>
      </c>
      <c r="D481" s="1">
        <v>451.4</v>
      </c>
      <c r="E481" s="1">
        <f t="shared" si="28"/>
        <v>202.02020202020199</v>
      </c>
      <c r="F481" s="1">
        <v>4.9500000000000004E-3</v>
      </c>
      <c r="G481" s="1">
        <v>1890.69</v>
      </c>
      <c r="H481" s="1">
        <v>2334.52</v>
      </c>
      <c r="I481" s="1">
        <v>4.1112000000000002</v>
      </c>
      <c r="J481" s="1">
        <v>4.8011999999999997</v>
      </c>
      <c r="K481" s="1">
        <v>45.16</v>
      </c>
      <c r="L481" s="1">
        <v>96.6</v>
      </c>
      <c r="M481" s="1">
        <v>21.15</v>
      </c>
      <c r="N481" s="1">
        <v>360</v>
      </c>
      <c r="O481" s="1">
        <v>362.8</v>
      </c>
      <c r="P481" s="1">
        <v>52.1</v>
      </c>
      <c r="Q481" s="1">
        <v>29.68</v>
      </c>
      <c r="R481" s="1">
        <v>425</v>
      </c>
      <c r="S481" s="1">
        <v>323.83999999999997</v>
      </c>
      <c r="T481" s="1">
        <v>0.39</v>
      </c>
      <c r="U481" s="1">
        <v>370</v>
      </c>
    </row>
    <row r="482" spans="1:21">
      <c r="A482" s="32">
        <v>373.95</v>
      </c>
      <c r="B482" s="1">
        <v>22.064</v>
      </c>
      <c r="C482" s="108">
        <f t="shared" si="27"/>
        <v>3200.1184320000002</v>
      </c>
      <c r="D482" s="1">
        <v>322</v>
      </c>
      <c r="E482" s="1">
        <f t="shared" si="28"/>
        <v>321.54340836012864</v>
      </c>
      <c r="F482" s="1">
        <v>3.1099999999999999E-3</v>
      </c>
      <c r="G482" s="1">
        <v>2084.2600000000002</v>
      </c>
      <c r="H482" s="1">
        <v>2084.2600000000002</v>
      </c>
      <c r="I482" s="1">
        <v>4.407</v>
      </c>
      <c r="J482" s="1">
        <v>4.407</v>
      </c>
      <c r="K482" s="1" t="s">
        <v>310</v>
      </c>
      <c r="L482" s="1" t="s">
        <v>310</v>
      </c>
      <c r="M482" s="1" t="s">
        <v>310</v>
      </c>
      <c r="N482" s="1">
        <v>0</v>
      </c>
      <c r="O482" s="1">
        <v>0</v>
      </c>
      <c r="P482" s="1" t="s">
        <v>311</v>
      </c>
      <c r="Q482" s="1" t="s">
        <v>311</v>
      </c>
      <c r="R482" s="1" t="s">
        <v>310</v>
      </c>
      <c r="S482" s="1" t="s">
        <v>310</v>
      </c>
      <c r="T482" s="1">
        <v>0</v>
      </c>
      <c r="U482" s="1">
        <v>373.95</v>
      </c>
    </row>
    <row r="483" spans="1:21">
      <c r="A483" s="1"/>
      <c r="B483" s="1"/>
      <c r="C483" s="108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>
      <c r="A484" s="1"/>
      <c r="B484" s="1"/>
      <c r="C484" s="108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>
      <c r="A485" s="1"/>
      <c r="B485" s="1"/>
      <c r="C485" s="108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>
      <c r="A486" s="1"/>
      <c r="B486" s="1"/>
      <c r="C486" s="108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>
      <c r="A487" s="109" t="s">
        <v>312</v>
      </c>
      <c r="B487" s="110" t="s">
        <v>313</v>
      </c>
      <c r="C487" s="110" t="s">
        <v>331</v>
      </c>
      <c r="D487" s="110" t="s">
        <v>314</v>
      </c>
      <c r="E487" s="110" t="s">
        <v>315</v>
      </c>
      <c r="F487" s="110" t="s">
        <v>332</v>
      </c>
      <c r="G487" s="110" t="s">
        <v>316</v>
      </c>
      <c r="H487" s="110" t="s">
        <v>317</v>
      </c>
      <c r="I487" s="110" t="s">
        <v>318</v>
      </c>
      <c r="J487" s="110" t="s">
        <v>319</v>
      </c>
      <c r="K487" s="110" t="s">
        <v>320</v>
      </c>
      <c r="L487" s="110" t="s">
        <v>321</v>
      </c>
      <c r="M487" s="111" t="s">
        <v>322</v>
      </c>
      <c r="N487" s="110" t="s">
        <v>323</v>
      </c>
      <c r="O487" s="110" t="s">
        <v>324</v>
      </c>
      <c r="P487" s="110" t="s">
        <v>325</v>
      </c>
      <c r="Q487" s="110" t="s">
        <v>326</v>
      </c>
      <c r="R487" s="110" t="s">
        <v>327</v>
      </c>
      <c r="S487" s="110" t="s">
        <v>328</v>
      </c>
      <c r="T487" s="110" t="s">
        <v>329</v>
      </c>
      <c r="U487" s="112" t="s">
        <v>466</v>
      </c>
    </row>
    <row r="488" spans="1:21">
      <c r="A488" s="32">
        <v>-56.56</v>
      </c>
      <c r="B488" s="1">
        <v>0.51795999999999998</v>
      </c>
      <c r="C488" s="108">
        <f t="shared" si="27"/>
        <v>75.123882480000006</v>
      </c>
      <c r="D488" s="1">
        <v>1178.5</v>
      </c>
      <c r="E488" s="1">
        <f t="shared" si="28"/>
        <v>13.760836658868859</v>
      </c>
      <c r="F488" s="1">
        <v>7.2669999999999998E-2</v>
      </c>
      <c r="G488" s="1">
        <v>80.040000000000006</v>
      </c>
      <c r="H488" s="1">
        <v>430.42</v>
      </c>
      <c r="I488" s="1">
        <v>0.52129999999999999</v>
      </c>
      <c r="J488" s="1">
        <v>2.1389999999999998</v>
      </c>
      <c r="K488" s="1">
        <v>1.9530000000000001</v>
      </c>
      <c r="L488" s="1">
        <v>0.90900000000000003</v>
      </c>
      <c r="M488" s="1">
        <v>1.444</v>
      </c>
      <c r="N488" s="1">
        <v>976</v>
      </c>
      <c r="O488" s="1">
        <v>222.8</v>
      </c>
      <c r="P488" s="1">
        <v>256.7</v>
      </c>
      <c r="Q488" s="1">
        <v>10.95</v>
      </c>
      <c r="R488" s="1">
        <v>180.6</v>
      </c>
      <c r="S488" s="1">
        <v>11.01</v>
      </c>
      <c r="T488" s="1">
        <v>17.16</v>
      </c>
      <c r="U488" s="1" t="s">
        <v>605</v>
      </c>
    </row>
    <row r="489" spans="1:21">
      <c r="A489" s="32">
        <v>-50</v>
      </c>
      <c r="B489" s="1">
        <v>0.68233999999999995</v>
      </c>
      <c r="C489" s="108">
        <f t="shared" si="27"/>
        <v>98.965228920000001</v>
      </c>
      <c r="D489" s="1">
        <v>1154.5999999999999</v>
      </c>
      <c r="E489" s="1">
        <f t="shared" si="28"/>
        <v>17.924359204158453</v>
      </c>
      <c r="F489" s="1">
        <v>5.5789999999999999E-2</v>
      </c>
      <c r="G489" s="1">
        <v>92.94</v>
      </c>
      <c r="H489" s="1">
        <v>432.68</v>
      </c>
      <c r="I489" s="1">
        <v>0.57940000000000003</v>
      </c>
      <c r="J489" s="1">
        <v>2.1017999999999999</v>
      </c>
      <c r="K489" s="1">
        <v>1.9710000000000001</v>
      </c>
      <c r="L489" s="1">
        <v>0.95199999999999996</v>
      </c>
      <c r="M489" s="1">
        <v>1.468</v>
      </c>
      <c r="N489" s="1">
        <v>928</v>
      </c>
      <c r="O489" s="1">
        <v>223.4</v>
      </c>
      <c r="P489" s="1">
        <v>229.3</v>
      </c>
      <c r="Q489" s="1">
        <v>11.31</v>
      </c>
      <c r="R489" s="1">
        <v>172.1</v>
      </c>
      <c r="S489" s="1">
        <v>11.58</v>
      </c>
      <c r="T489" s="1">
        <v>15.53</v>
      </c>
      <c r="U489" s="1">
        <v>-50</v>
      </c>
    </row>
    <row r="490" spans="1:21">
      <c r="A490" s="32">
        <v>-48</v>
      </c>
      <c r="B490" s="1">
        <v>0.73948999999999998</v>
      </c>
      <c r="C490" s="108">
        <f t="shared" si="27"/>
        <v>107.25415062</v>
      </c>
      <c r="D490" s="1">
        <v>1147.0999999999999</v>
      </c>
      <c r="E490" s="1">
        <f t="shared" si="28"/>
        <v>19.372336303758235</v>
      </c>
      <c r="F490" s="1">
        <v>5.1619999999999999E-2</v>
      </c>
      <c r="G490" s="1">
        <v>96.9</v>
      </c>
      <c r="H490" s="1">
        <v>433.29</v>
      </c>
      <c r="I490" s="1">
        <v>0.5968</v>
      </c>
      <c r="J490" s="1">
        <v>2.0909</v>
      </c>
      <c r="K490" s="1">
        <v>1.978</v>
      </c>
      <c r="L490" s="1">
        <v>0.96699999999999997</v>
      </c>
      <c r="M490" s="1">
        <v>1.4770000000000001</v>
      </c>
      <c r="N490" s="1">
        <v>914</v>
      </c>
      <c r="O490" s="1">
        <v>223.5</v>
      </c>
      <c r="P490" s="1">
        <v>221.6</v>
      </c>
      <c r="Q490" s="1">
        <v>11.42</v>
      </c>
      <c r="R490" s="1">
        <v>169.5</v>
      </c>
      <c r="S490" s="1">
        <v>11.76</v>
      </c>
      <c r="T490" s="1">
        <v>15.04</v>
      </c>
      <c r="U490" s="1">
        <v>-48</v>
      </c>
    </row>
    <row r="491" spans="1:21">
      <c r="A491" s="32">
        <v>-46</v>
      </c>
      <c r="B491" s="1">
        <v>0.80015000000000003</v>
      </c>
      <c r="C491" s="108">
        <f t="shared" si="27"/>
        <v>116.05215570000001</v>
      </c>
      <c r="D491" s="1">
        <v>1139.5999999999999</v>
      </c>
      <c r="E491" s="1">
        <f t="shared" si="28"/>
        <v>20.911752404851526</v>
      </c>
      <c r="F491" s="1">
        <v>4.7820000000000001E-2</v>
      </c>
      <c r="G491" s="1">
        <v>100.88</v>
      </c>
      <c r="H491" s="1">
        <v>433.86</v>
      </c>
      <c r="I491" s="1">
        <v>0.61419999999999997</v>
      </c>
      <c r="J491" s="1">
        <v>2.0800999999999998</v>
      </c>
      <c r="K491" s="1">
        <v>1.9850000000000001</v>
      </c>
      <c r="L491" s="1">
        <v>0.98199999999999998</v>
      </c>
      <c r="M491" s="1">
        <v>1.486</v>
      </c>
      <c r="N491" s="1">
        <v>900</v>
      </c>
      <c r="O491" s="1">
        <v>223.6</v>
      </c>
      <c r="P491" s="1">
        <v>214.3</v>
      </c>
      <c r="Q491" s="1">
        <v>11.53</v>
      </c>
      <c r="R491" s="1">
        <v>166.9</v>
      </c>
      <c r="S491" s="1">
        <v>11.95</v>
      </c>
      <c r="T491" s="1">
        <v>14.56</v>
      </c>
      <c r="U491" s="1">
        <v>-46</v>
      </c>
    </row>
    <row r="492" spans="1:21">
      <c r="A492" s="32">
        <v>-44</v>
      </c>
      <c r="B492" s="1">
        <v>0.86445000000000005</v>
      </c>
      <c r="C492" s="108">
        <f t="shared" si="27"/>
        <v>125.37809910000001</v>
      </c>
      <c r="D492" s="1">
        <v>1132</v>
      </c>
      <c r="E492" s="1">
        <f t="shared" si="28"/>
        <v>22.547914317925592</v>
      </c>
      <c r="F492" s="1">
        <v>4.4350000000000001E-2</v>
      </c>
      <c r="G492" s="1">
        <v>104.87</v>
      </c>
      <c r="H492" s="1">
        <v>434.39</v>
      </c>
      <c r="I492" s="1">
        <v>0.63139999999999996</v>
      </c>
      <c r="J492" s="1">
        <v>2.0693999999999999</v>
      </c>
      <c r="K492" s="1">
        <v>1.9930000000000001</v>
      </c>
      <c r="L492" s="1">
        <v>0.998</v>
      </c>
      <c r="M492" s="1">
        <v>1.496</v>
      </c>
      <c r="N492" s="1">
        <v>885</v>
      </c>
      <c r="O492" s="1">
        <v>223.6</v>
      </c>
      <c r="P492" s="1">
        <v>207.2</v>
      </c>
      <c r="Q492" s="1">
        <v>11.64</v>
      </c>
      <c r="R492" s="1">
        <v>164.4</v>
      </c>
      <c r="S492" s="1">
        <v>12.14</v>
      </c>
      <c r="T492" s="1">
        <v>14.07</v>
      </c>
      <c r="U492" s="1">
        <v>-44</v>
      </c>
    </row>
    <row r="493" spans="1:21">
      <c r="A493" s="32">
        <v>-42</v>
      </c>
      <c r="B493" s="1">
        <v>0.93252000000000002</v>
      </c>
      <c r="C493" s="108">
        <f t="shared" si="27"/>
        <v>135.25083576</v>
      </c>
      <c r="D493" s="1">
        <v>1124.2</v>
      </c>
      <c r="E493" s="1">
        <f t="shared" si="28"/>
        <v>24.283632831471586</v>
      </c>
      <c r="F493" s="1">
        <v>4.1180000000000001E-2</v>
      </c>
      <c r="G493" s="1">
        <v>108.88</v>
      </c>
      <c r="H493" s="1">
        <v>434.88</v>
      </c>
      <c r="I493" s="1">
        <v>0.64859999999999995</v>
      </c>
      <c r="J493" s="1">
        <v>2.0589</v>
      </c>
      <c r="K493" s="1">
        <v>2.0019999999999998</v>
      </c>
      <c r="L493" s="1">
        <v>1.0149999999999999</v>
      </c>
      <c r="M493" s="1">
        <v>1.5069999999999999</v>
      </c>
      <c r="N493" s="1">
        <v>871</v>
      </c>
      <c r="O493" s="1">
        <v>223.6</v>
      </c>
      <c r="P493" s="1">
        <v>200.3</v>
      </c>
      <c r="Q493" s="1">
        <v>11.75</v>
      </c>
      <c r="R493" s="1">
        <v>161.80000000000001</v>
      </c>
      <c r="S493" s="1">
        <v>12.34</v>
      </c>
      <c r="T493" s="1">
        <v>13.6</v>
      </c>
      <c r="U493" s="1">
        <v>-42</v>
      </c>
    </row>
    <row r="494" spans="1:21">
      <c r="A494" s="32">
        <v>-40</v>
      </c>
      <c r="B494" s="1">
        <v>1.0044999999999999</v>
      </c>
      <c r="C494" s="108">
        <f t="shared" si="27"/>
        <v>145.69067100000001</v>
      </c>
      <c r="D494" s="1">
        <v>1116.4000000000001</v>
      </c>
      <c r="E494" s="1">
        <f t="shared" si="28"/>
        <v>26.123301985370951</v>
      </c>
      <c r="F494" s="1">
        <v>3.8280000000000002E-2</v>
      </c>
      <c r="G494" s="1">
        <v>112.9</v>
      </c>
      <c r="H494" s="1">
        <v>435.32</v>
      </c>
      <c r="I494" s="1">
        <v>0.66559999999999997</v>
      </c>
      <c r="J494" s="1">
        <v>2.0485000000000002</v>
      </c>
      <c r="K494" s="1">
        <v>2.012</v>
      </c>
      <c r="L494" s="1">
        <v>1.0329999999999999</v>
      </c>
      <c r="M494" s="1">
        <v>1.518</v>
      </c>
      <c r="N494" s="1">
        <v>856</v>
      </c>
      <c r="O494" s="1">
        <v>223.5</v>
      </c>
      <c r="P494" s="1">
        <v>193.8</v>
      </c>
      <c r="Q494" s="1">
        <v>11.87</v>
      </c>
      <c r="R494" s="1">
        <v>159.30000000000001</v>
      </c>
      <c r="S494" s="1">
        <v>12.54</v>
      </c>
      <c r="T494" s="1">
        <v>13.12</v>
      </c>
      <c r="U494" s="1">
        <v>-40</v>
      </c>
    </row>
    <row r="495" spans="1:21">
      <c r="A495" s="32">
        <v>-38</v>
      </c>
      <c r="B495" s="1">
        <v>1.0805</v>
      </c>
      <c r="C495" s="108">
        <f t="shared" si="27"/>
        <v>156.713559</v>
      </c>
      <c r="D495" s="1">
        <v>1108.5</v>
      </c>
      <c r="E495" s="1">
        <f t="shared" si="28"/>
        <v>28.07411566535654</v>
      </c>
      <c r="F495" s="1">
        <v>3.5619999999999999E-2</v>
      </c>
      <c r="G495" s="1">
        <v>116.95</v>
      </c>
      <c r="H495" s="1">
        <v>435.72</v>
      </c>
      <c r="I495" s="1">
        <v>0.68259999999999998</v>
      </c>
      <c r="J495" s="1">
        <v>2.0381999999999998</v>
      </c>
      <c r="K495" s="1">
        <v>2.0219999999999998</v>
      </c>
      <c r="L495" s="1">
        <v>1.052</v>
      </c>
      <c r="M495" s="1">
        <v>1.53</v>
      </c>
      <c r="N495" s="1">
        <v>842</v>
      </c>
      <c r="O495" s="1">
        <v>223.4</v>
      </c>
      <c r="P495" s="1">
        <v>187.4</v>
      </c>
      <c r="Q495" s="1">
        <v>11.98</v>
      </c>
      <c r="R495" s="1">
        <v>156.80000000000001</v>
      </c>
      <c r="S495" s="1">
        <v>12.75</v>
      </c>
      <c r="T495" s="1">
        <v>12.65</v>
      </c>
      <c r="U495" s="1">
        <v>-38</v>
      </c>
    </row>
    <row r="496" spans="1:21">
      <c r="A496" s="32">
        <v>-36</v>
      </c>
      <c r="B496" s="1">
        <v>1.1607000000000001</v>
      </c>
      <c r="C496" s="108">
        <f t="shared" si="27"/>
        <v>168.34560660000002</v>
      </c>
      <c r="D496" s="1">
        <v>1100.5</v>
      </c>
      <c r="E496" s="1">
        <f t="shared" si="28"/>
        <v>30.138637733574441</v>
      </c>
      <c r="F496" s="1">
        <v>3.3180000000000001E-2</v>
      </c>
      <c r="G496" s="1">
        <v>121.01</v>
      </c>
      <c r="H496" s="1">
        <v>436.07</v>
      </c>
      <c r="I496" s="1">
        <v>0.69950000000000001</v>
      </c>
      <c r="J496" s="1">
        <v>2.0280999999999998</v>
      </c>
      <c r="K496" s="1">
        <v>2.0329999999999999</v>
      </c>
      <c r="L496" s="1">
        <v>1.0720000000000001</v>
      </c>
      <c r="M496" s="1">
        <v>1.544</v>
      </c>
      <c r="N496" s="1">
        <v>827</v>
      </c>
      <c r="O496" s="1">
        <v>223.2</v>
      </c>
      <c r="P496" s="1">
        <v>181.3</v>
      </c>
      <c r="Q496" s="1">
        <v>12.1</v>
      </c>
      <c r="R496" s="1">
        <v>154.30000000000001</v>
      </c>
      <c r="S496" s="1">
        <v>12.97</v>
      </c>
      <c r="T496" s="1">
        <v>12.18</v>
      </c>
      <c r="U496" s="1">
        <v>-36</v>
      </c>
    </row>
    <row r="497" spans="1:21">
      <c r="A497" s="32">
        <v>-34</v>
      </c>
      <c r="B497" s="1">
        <v>1.2452000000000001</v>
      </c>
      <c r="C497" s="108">
        <f t="shared" si="27"/>
        <v>180.60131760000002</v>
      </c>
      <c r="D497" s="1">
        <v>1092.4000000000001</v>
      </c>
      <c r="E497" s="1">
        <f t="shared" si="28"/>
        <v>32.331070158422243</v>
      </c>
      <c r="F497" s="1">
        <v>3.0929999999999999E-2</v>
      </c>
      <c r="G497" s="1">
        <v>125.1</v>
      </c>
      <c r="H497" s="1">
        <v>436.37</v>
      </c>
      <c r="I497" s="1">
        <v>0.71630000000000005</v>
      </c>
      <c r="J497" s="1">
        <v>2.0179999999999998</v>
      </c>
      <c r="K497" s="1">
        <v>2.0449999999999999</v>
      </c>
      <c r="L497" s="1">
        <v>1.0940000000000001</v>
      </c>
      <c r="M497" s="1">
        <v>1.5580000000000001</v>
      </c>
      <c r="N497" s="1">
        <v>813</v>
      </c>
      <c r="O497" s="1">
        <v>223.1</v>
      </c>
      <c r="P497" s="1">
        <v>175.4</v>
      </c>
      <c r="Q497" s="1">
        <v>12.22</v>
      </c>
      <c r="R497" s="1">
        <v>151.80000000000001</v>
      </c>
      <c r="S497" s="1">
        <v>13.2</v>
      </c>
      <c r="T497" s="1">
        <v>11.72</v>
      </c>
      <c r="U497" s="1">
        <v>-34</v>
      </c>
    </row>
    <row r="498" spans="1:21">
      <c r="A498" s="32">
        <v>-32</v>
      </c>
      <c r="B498" s="1">
        <v>1.3342000000000001</v>
      </c>
      <c r="C498" s="108">
        <f t="shared" si="27"/>
        <v>193.50969960000003</v>
      </c>
      <c r="D498" s="1">
        <v>1084.0999999999999</v>
      </c>
      <c r="E498" s="1">
        <f t="shared" si="28"/>
        <v>34.650034650034648</v>
      </c>
      <c r="F498" s="1">
        <v>2.886E-2</v>
      </c>
      <c r="G498" s="1">
        <v>129.19999999999999</v>
      </c>
      <c r="H498" s="1">
        <v>436.62</v>
      </c>
      <c r="I498" s="1">
        <v>0.73309999999999997</v>
      </c>
      <c r="J498" s="1">
        <v>2.0078999999999998</v>
      </c>
      <c r="K498" s="1">
        <v>2.0590000000000002</v>
      </c>
      <c r="L498" s="1">
        <v>1.1160000000000001</v>
      </c>
      <c r="M498" s="1">
        <v>1.573</v>
      </c>
      <c r="N498" s="1">
        <v>798</v>
      </c>
      <c r="O498" s="1">
        <v>222.8</v>
      </c>
      <c r="P498" s="1">
        <v>169.7</v>
      </c>
      <c r="Q498" s="1">
        <v>12.34</v>
      </c>
      <c r="R498" s="1">
        <v>149.30000000000001</v>
      </c>
      <c r="S498" s="1">
        <v>13.43</v>
      </c>
      <c r="T498" s="1">
        <v>11.26</v>
      </c>
      <c r="U498" s="1">
        <v>-32</v>
      </c>
    </row>
    <row r="499" spans="1:21">
      <c r="A499" s="32">
        <v>-30</v>
      </c>
      <c r="B499" s="1">
        <v>1.4278</v>
      </c>
      <c r="C499" s="108">
        <f t="shared" si="27"/>
        <v>207.08525640000002</v>
      </c>
      <c r="D499" s="1">
        <v>1075.7</v>
      </c>
      <c r="E499" s="1">
        <f t="shared" si="28"/>
        <v>37.091988130563799</v>
      </c>
      <c r="F499" s="1">
        <v>2.6960000000000001E-2</v>
      </c>
      <c r="G499" s="1">
        <v>133.34</v>
      </c>
      <c r="H499" s="1">
        <v>436.82</v>
      </c>
      <c r="I499" s="1">
        <v>0.74980000000000002</v>
      </c>
      <c r="J499" s="1">
        <v>1.998</v>
      </c>
      <c r="K499" s="1">
        <v>2.073</v>
      </c>
      <c r="L499" s="1">
        <v>1.141</v>
      </c>
      <c r="M499" s="1">
        <v>1.59</v>
      </c>
      <c r="N499" s="1">
        <v>783</v>
      </c>
      <c r="O499" s="1">
        <v>222.5</v>
      </c>
      <c r="P499" s="1">
        <v>164.2</v>
      </c>
      <c r="Q499" s="1">
        <v>12.46</v>
      </c>
      <c r="R499" s="1">
        <v>146.9</v>
      </c>
      <c r="S499" s="1">
        <v>13.68</v>
      </c>
      <c r="T499" s="1">
        <v>10.8</v>
      </c>
      <c r="U499" s="1">
        <v>-30</v>
      </c>
    </row>
    <row r="500" spans="1:21">
      <c r="A500" s="32">
        <v>-28</v>
      </c>
      <c r="B500" s="1">
        <v>1.5261</v>
      </c>
      <c r="C500" s="108">
        <f t="shared" si="27"/>
        <v>221.3424918</v>
      </c>
      <c r="D500" s="1">
        <v>1067.2</v>
      </c>
      <c r="E500" s="1">
        <f t="shared" si="28"/>
        <v>39.69829297340214</v>
      </c>
      <c r="F500" s="1">
        <v>2.5190000000000001E-2</v>
      </c>
      <c r="G500" s="1">
        <v>137.5</v>
      </c>
      <c r="H500" s="1">
        <v>436.96</v>
      </c>
      <c r="I500" s="1">
        <v>0.76649999999999996</v>
      </c>
      <c r="J500" s="1">
        <v>1.988</v>
      </c>
      <c r="K500" s="1">
        <v>2.089</v>
      </c>
      <c r="L500" s="1">
        <v>1.1659999999999999</v>
      </c>
      <c r="M500" s="1">
        <v>1.6080000000000001</v>
      </c>
      <c r="N500" s="1">
        <v>768</v>
      </c>
      <c r="O500" s="1">
        <v>222.2</v>
      </c>
      <c r="P500" s="1">
        <v>158.9</v>
      </c>
      <c r="Q500" s="1">
        <v>12.59</v>
      </c>
      <c r="R500" s="1">
        <v>144.4</v>
      </c>
      <c r="S500" s="1">
        <v>13.94</v>
      </c>
      <c r="T500" s="1">
        <v>10.35</v>
      </c>
      <c r="U500" s="1">
        <v>-28</v>
      </c>
    </row>
    <row r="501" spans="1:21">
      <c r="A501" s="32">
        <v>-26</v>
      </c>
      <c r="B501" s="1">
        <v>1.6293</v>
      </c>
      <c r="C501" s="108">
        <f t="shared" si="27"/>
        <v>236.31041340000002</v>
      </c>
      <c r="D501" s="1">
        <v>1058.5999999999999</v>
      </c>
      <c r="E501" s="1">
        <f t="shared" si="28"/>
        <v>42.444821731748725</v>
      </c>
      <c r="F501" s="1">
        <v>2.3560000000000001E-2</v>
      </c>
      <c r="G501" s="1">
        <v>141.69</v>
      </c>
      <c r="H501" s="1">
        <v>437.04</v>
      </c>
      <c r="I501" s="1">
        <v>0.78310000000000002</v>
      </c>
      <c r="J501" s="1">
        <v>1.9781</v>
      </c>
      <c r="K501" s="1">
        <v>2.105</v>
      </c>
      <c r="L501" s="1">
        <v>1.194</v>
      </c>
      <c r="M501" s="1">
        <v>1.627</v>
      </c>
      <c r="N501" s="1">
        <v>753</v>
      </c>
      <c r="O501" s="1">
        <v>221.8</v>
      </c>
      <c r="P501" s="1">
        <v>153.80000000000001</v>
      </c>
      <c r="Q501" s="1">
        <v>12.72</v>
      </c>
      <c r="R501" s="1">
        <v>141.9</v>
      </c>
      <c r="S501" s="1">
        <v>14.2</v>
      </c>
      <c r="T501" s="1">
        <v>9.9</v>
      </c>
      <c r="U501" s="1">
        <v>-26</v>
      </c>
    </row>
    <row r="502" spans="1:21">
      <c r="A502" s="32">
        <v>-24</v>
      </c>
      <c r="B502" s="1">
        <v>1.7375</v>
      </c>
      <c r="C502" s="108">
        <f t="shared" si="27"/>
        <v>252.00352500000002</v>
      </c>
      <c r="D502" s="1">
        <v>1049.8</v>
      </c>
      <c r="E502" s="1">
        <f t="shared" si="28"/>
        <v>45.351473922902493</v>
      </c>
      <c r="F502" s="1">
        <v>2.205E-2</v>
      </c>
      <c r="G502" s="1">
        <v>145.91</v>
      </c>
      <c r="H502" s="1">
        <v>437.06</v>
      </c>
      <c r="I502" s="1">
        <v>0.79969999999999997</v>
      </c>
      <c r="J502" s="1">
        <v>1.9682999999999999</v>
      </c>
      <c r="K502" s="1">
        <v>2.1240000000000001</v>
      </c>
      <c r="L502" s="1">
        <v>1.2230000000000001</v>
      </c>
      <c r="M502" s="1">
        <v>1.6479999999999999</v>
      </c>
      <c r="N502" s="1">
        <v>738</v>
      </c>
      <c r="O502" s="1">
        <v>221.4</v>
      </c>
      <c r="P502" s="1">
        <v>148.80000000000001</v>
      </c>
      <c r="Q502" s="1">
        <v>12.85</v>
      </c>
      <c r="R502" s="1">
        <v>139.5</v>
      </c>
      <c r="S502" s="1">
        <v>14.49</v>
      </c>
      <c r="T502" s="1">
        <v>9.4600000000000009</v>
      </c>
      <c r="U502" s="1">
        <v>-24</v>
      </c>
    </row>
    <row r="503" spans="1:21">
      <c r="A503" s="32">
        <v>-22</v>
      </c>
      <c r="B503" s="1">
        <v>1.8509</v>
      </c>
      <c r="C503" s="108">
        <f t="shared" si="27"/>
        <v>268.45083420000003</v>
      </c>
      <c r="D503" s="1">
        <v>1040.8</v>
      </c>
      <c r="E503" s="1">
        <f t="shared" si="28"/>
        <v>48.426150121065369</v>
      </c>
      <c r="F503" s="1">
        <v>2.0650000000000002E-2</v>
      </c>
      <c r="G503" s="1">
        <v>150.16</v>
      </c>
      <c r="H503" s="1">
        <v>437.01</v>
      </c>
      <c r="I503" s="1">
        <v>0.81630000000000003</v>
      </c>
      <c r="J503" s="1">
        <v>1.9583999999999999</v>
      </c>
      <c r="K503" s="1">
        <v>2.1440000000000001</v>
      </c>
      <c r="L503" s="1">
        <v>1.2549999999999999</v>
      </c>
      <c r="M503" s="1">
        <v>1.671</v>
      </c>
      <c r="N503" s="1">
        <v>723</v>
      </c>
      <c r="O503" s="1">
        <v>220.9</v>
      </c>
      <c r="P503" s="1">
        <v>144</v>
      </c>
      <c r="Q503" s="1">
        <v>12.98</v>
      </c>
      <c r="R503" s="1">
        <v>137.1</v>
      </c>
      <c r="S503" s="1">
        <v>14.78</v>
      </c>
      <c r="T503" s="1">
        <v>9.02</v>
      </c>
      <c r="U503" s="1">
        <v>-22</v>
      </c>
    </row>
    <row r="504" spans="1:21">
      <c r="A504" s="32">
        <v>-20</v>
      </c>
      <c r="B504" s="1">
        <v>1.9696</v>
      </c>
      <c r="C504" s="108">
        <f t="shared" si="27"/>
        <v>285.66684480000004</v>
      </c>
      <c r="D504" s="1">
        <v>1031.7</v>
      </c>
      <c r="E504" s="1">
        <f t="shared" si="28"/>
        <v>51.706308169596689</v>
      </c>
      <c r="F504" s="1">
        <v>1.934E-2</v>
      </c>
      <c r="G504" s="1">
        <v>154.44999999999999</v>
      </c>
      <c r="H504" s="1">
        <v>436.89</v>
      </c>
      <c r="I504" s="1">
        <v>0.83279999999999998</v>
      </c>
      <c r="J504" s="1">
        <v>1.9484999999999999</v>
      </c>
      <c r="K504" s="1">
        <v>2.165</v>
      </c>
      <c r="L504" s="1">
        <v>1.2889999999999999</v>
      </c>
      <c r="M504" s="1">
        <v>1.696</v>
      </c>
      <c r="N504" s="1">
        <v>708</v>
      </c>
      <c r="O504" s="1">
        <v>220.4</v>
      </c>
      <c r="P504" s="1">
        <v>139.30000000000001</v>
      </c>
      <c r="Q504" s="1">
        <v>13.12</v>
      </c>
      <c r="R504" s="1">
        <v>134.6</v>
      </c>
      <c r="S504" s="1">
        <v>15.09</v>
      </c>
      <c r="T504" s="1">
        <v>8.59</v>
      </c>
      <c r="U504" s="1">
        <v>-20</v>
      </c>
    </row>
    <row r="505" spans="1:21">
      <c r="A505" s="32">
        <v>-19</v>
      </c>
      <c r="B505" s="1">
        <v>2.0310000000000001</v>
      </c>
      <c r="C505" s="108">
        <f t="shared" si="27"/>
        <v>294.57217800000006</v>
      </c>
      <c r="D505" s="1">
        <v>1027</v>
      </c>
      <c r="E505" s="1">
        <f t="shared" si="28"/>
        <v>53.390282968499733</v>
      </c>
      <c r="F505" s="1">
        <v>1.873E-2</v>
      </c>
      <c r="G505" s="1">
        <v>156.61000000000001</v>
      </c>
      <c r="H505" s="1">
        <v>436.81</v>
      </c>
      <c r="I505" s="1">
        <v>0.84109999999999996</v>
      </c>
      <c r="J505" s="1">
        <v>1.9436</v>
      </c>
      <c r="K505" s="1">
        <v>2.177</v>
      </c>
      <c r="L505" s="1">
        <v>1.3069999999999999</v>
      </c>
      <c r="M505" s="1">
        <v>1.7090000000000001</v>
      </c>
      <c r="N505" s="1">
        <v>700</v>
      </c>
      <c r="O505" s="1">
        <v>220.1</v>
      </c>
      <c r="P505" s="1">
        <v>137.1</v>
      </c>
      <c r="Q505" s="1">
        <v>13.18</v>
      </c>
      <c r="R505" s="1">
        <v>133.4</v>
      </c>
      <c r="S505" s="1">
        <v>15.25</v>
      </c>
      <c r="T505" s="1">
        <v>8.3699999999999992</v>
      </c>
      <c r="U505" s="1">
        <v>-19</v>
      </c>
    </row>
    <row r="506" spans="1:21">
      <c r="A506" s="32">
        <v>-18</v>
      </c>
      <c r="B506" s="1">
        <v>2.0937999999999999</v>
      </c>
      <c r="C506" s="108">
        <f t="shared" si="27"/>
        <v>303.68056439999998</v>
      </c>
      <c r="D506" s="1">
        <v>1022.3</v>
      </c>
      <c r="E506" s="1">
        <f t="shared" si="28"/>
        <v>55.157198014340871</v>
      </c>
      <c r="F506" s="1">
        <v>1.813E-2</v>
      </c>
      <c r="G506" s="1">
        <v>158.77000000000001</v>
      </c>
      <c r="H506" s="1">
        <v>436.7</v>
      </c>
      <c r="I506" s="1">
        <v>0.84940000000000004</v>
      </c>
      <c r="J506" s="1">
        <v>1.9386000000000001</v>
      </c>
      <c r="K506" s="1">
        <v>2.1890000000000001</v>
      </c>
      <c r="L506" s="1">
        <v>1.3260000000000001</v>
      </c>
      <c r="M506" s="1">
        <v>1.7230000000000001</v>
      </c>
      <c r="N506" s="1">
        <v>692</v>
      </c>
      <c r="O506" s="1">
        <v>219.8</v>
      </c>
      <c r="P506" s="1">
        <v>134.80000000000001</v>
      </c>
      <c r="Q506" s="1">
        <v>13.26</v>
      </c>
      <c r="R506" s="1">
        <v>132.19999999999999</v>
      </c>
      <c r="S506" s="1">
        <v>15.42</v>
      </c>
      <c r="T506" s="1">
        <v>8.16</v>
      </c>
      <c r="U506" s="1">
        <v>-18</v>
      </c>
    </row>
    <row r="507" spans="1:21">
      <c r="A507" s="32">
        <v>-17</v>
      </c>
      <c r="B507" s="1">
        <v>2.1581000000000001</v>
      </c>
      <c r="C507" s="108">
        <f t="shared" si="27"/>
        <v>313.00650780000007</v>
      </c>
      <c r="D507" s="1">
        <v>1017.6</v>
      </c>
      <c r="E507" s="1">
        <f t="shared" si="28"/>
        <v>56.947608200455583</v>
      </c>
      <c r="F507" s="1">
        <v>1.7559999999999999E-2</v>
      </c>
      <c r="G507" s="1">
        <v>160.94999999999999</v>
      </c>
      <c r="H507" s="1">
        <v>436.58</v>
      </c>
      <c r="I507" s="1">
        <v>0.85760000000000003</v>
      </c>
      <c r="J507" s="1">
        <v>1.9337</v>
      </c>
      <c r="K507" s="1">
        <v>2.2010000000000001</v>
      </c>
      <c r="L507" s="1">
        <v>1.3460000000000001</v>
      </c>
      <c r="M507" s="1">
        <v>1.738</v>
      </c>
      <c r="N507" s="1">
        <v>684</v>
      </c>
      <c r="O507" s="1">
        <v>219.5</v>
      </c>
      <c r="P507" s="1">
        <v>132.6</v>
      </c>
      <c r="Q507" s="1">
        <v>13.33</v>
      </c>
      <c r="R507" s="1">
        <v>131</v>
      </c>
      <c r="S507" s="1">
        <v>15.59</v>
      </c>
      <c r="T507" s="1">
        <v>7.95</v>
      </c>
      <c r="U507" s="1">
        <v>-17</v>
      </c>
    </row>
    <row r="508" spans="1:21">
      <c r="A508" s="32">
        <v>-16</v>
      </c>
      <c r="B508" s="1">
        <v>2.2237</v>
      </c>
      <c r="C508" s="108">
        <f t="shared" si="27"/>
        <v>322.52100060000004</v>
      </c>
      <c r="D508" s="1">
        <v>1012.8</v>
      </c>
      <c r="E508" s="1">
        <f t="shared" si="28"/>
        <v>58.823529411764703</v>
      </c>
      <c r="F508" s="1">
        <v>1.7000000000000001E-2</v>
      </c>
      <c r="G508" s="1">
        <v>163.13999999999999</v>
      </c>
      <c r="H508" s="1">
        <v>436.44</v>
      </c>
      <c r="I508" s="1">
        <v>0.8659</v>
      </c>
      <c r="J508" s="1">
        <v>1.9287000000000001</v>
      </c>
      <c r="K508" s="1">
        <v>2.2149999999999999</v>
      </c>
      <c r="L508" s="1">
        <v>1.3660000000000001</v>
      </c>
      <c r="M508" s="1">
        <v>1.7529999999999999</v>
      </c>
      <c r="N508" s="1">
        <v>676</v>
      </c>
      <c r="O508" s="1">
        <v>219.2</v>
      </c>
      <c r="P508" s="1">
        <v>130.4</v>
      </c>
      <c r="Q508" s="1">
        <v>13.4</v>
      </c>
      <c r="R508" s="1">
        <v>129.80000000000001</v>
      </c>
      <c r="S508" s="1">
        <v>15.77</v>
      </c>
      <c r="T508" s="1">
        <v>7.74</v>
      </c>
      <c r="U508" s="1">
        <v>-16</v>
      </c>
    </row>
    <row r="509" spans="1:21">
      <c r="A509" s="32">
        <v>-15</v>
      </c>
      <c r="B509" s="1">
        <v>2.2907999999999999</v>
      </c>
      <c r="C509" s="108">
        <f t="shared" si="27"/>
        <v>332.25305040000001</v>
      </c>
      <c r="D509" s="1">
        <v>1008</v>
      </c>
      <c r="E509" s="1">
        <f t="shared" si="28"/>
        <v>60.716454159077117</v>
      </c>
      <c r="F509" s="1">
        <v>1.6469999999999999E-2</v>
      </c>
      <c r="G509" s="1">
        <v>165.34</v>
      </c>
      <c r="H509" s="1">
        <v>436.27</v>
      </c>
      <c r="I509" s="1">
        <v>0.87419999999999998</v>
      </c>
      <c r="J509" s="1">
        <v>1.9237</v>
      </c>
      <c r="K509" s="1">
        <v>2.2280000000000002</v>
      </c>
      <c r="L509" s="1">
        <v>1.3879999999999999</v>
      </c>
      <c r="M509" s="1">
        <v>1.768</v>
      </c>
      <c r="N509" s="1">
        <v>668</v>
      </c>
      <c r="O509" s="1">
        <v>218.8</v>
      </c>
      <c r="P509" s="1">
        <v>128.30000000000001</v>
      </c>
      <c r="Q509" s="1">
        <v>13.47</v>
      </c>
      <c r="R509" s="1">
        <v>128.6</v>
      </c>
      <c r="S509" s="1">
        <v>15.95</v>
      </c>
      <c r="T509" s="1">
        <v>7.53</v>
      </c>
      <c r="U509" s="1">
        <v>-15</v>
      </c>
    </row>
    <row r="510" spans="1:21">
      <c r="A510" s="32">
        <v>-14</v>
      </c>
      <c r="B510" s="1">
        <v>2.3593000000000002</v>
      </c>
      <c r="C510" s="108">
        <f t="shared" si="27"/>
        <v>342.18815340000003</v>
      </c>
      <c r="D510" s="1">
        <v>1003.1</v>
      </c>
      <c r="E510" s="1">
        <f t="shared" si="28"/>
        <v>62.695924764890286</v>
      </c>
      <c r="F510" s="1">
        <v>1.5949999999999999E-2</v>
      </c>
      <c r="G510" s="1">
        <v>167.55</v>
      </c>
      <c r="H510" s="1">
        <v>436.09</v>
      </c>
      <c r="I510" s="1">
        <v>0.88249999999999995</v>
      </c>
      <c r="J510" s="1">
        <v>1.9187000000000001</v>
      </c>
      <c r="K510" s="1">
        <v>2.2429999999999999</v>
      </c>
      <c r="L510" s="1">
        <v>1.41</v>
      </c>
      <c r="M510" s="1">
        <v>1.7849999999999999</v>
      </c>
      <c r="N510" s="1">
        <v>660</v>
      </c>
      <c r="O510" s="1">
        <v>218.5</v>
      </c>
      <c r="P510" s="1">
        <v>126.2</v>
      </c>
      <c r="Q510" s="1">
        <v>13.55</v>
      </c>
      <c r="R510" s="1">
        <v>127.4</v>
      </c>
      <c r="S510" s="1">
        <v>16.14</v>
      </c>
      <c r="T510" s="1">
        <v>7.32</v>
      </c>
      <c r="U510" s="1">
        <v>-14</v>
      </c>
    </row>
    <row r="511" spans="1:21">
      <c r="A511" s="32">
        <v>-13</v>
      </c>
      <c r="B511" s="1">
        <v>2.4293999999999998</v>
      </c>
      <c r="C511" s="108">
        <f t="shared" si="27"/>
        <v>352.3553172</v>
      </c>
      <c r="D511" s="1">
        <v>998.1</v>
      </c>
      <c r="E511" s="1">
        <f t="shared" si="28"/>
        <v>64.724919093851128</v>
      </c>
      <c r="F511" s="1">
        <v>1.545E-2</v>
      </c>
      <c r="G511" s="1">
        <v>169.78</v>
      </c>
      <c r="H511" s="1">
        <v>435.89</v>
      </c>
      <c r="I511" s="1">
        <v>0.89080000000000004</v>
      </c>
      <c r="J511" s="1">
        <v>1.9137</v>
      </c>
      <c r="K511" s="1">
        <v>2.258</v>
      </c>
      <c r="L511" s="1">
        <v>1.4330000000000001</v>
      </c>
      <c r="M511" s="1">
        <v>1.802</v>
      </c>
      <c r="N511" s="1">
        <v>651</v>
      </c>
      <c r="O511" s="1">
        <v>218.1</v>
      </c>
      <c r="P511" s="1">
        <v>124.1</v>
      </c>
      <c r="Q511" s="1">
        <v>13.63</v>
      </c>
      <c r="R511" s="1">
        <v>126.2</v>
      </c>
      <c r="S511" s="1">
        <v>16.34</v>
      </c>
      <c r="T511" s="1">
        <v>7.11</v>
      </c>
      <c r="U511" s="1">
        <v>-13</v>
      </c>
    </row>
    <row r="512" spans="1:21">
      <c r="A512" s="32">
        <v>-12</v>
      </c>
      <c r="B512" s="1">
        <v>2.5009999999999999</v>
      </c>
      <c r="C512" s="108">
        <f t="shared" si="27"/>
        <v>362.74003800000003</v>
      </c>
      <c r="D512" s="1">
        <v>993.1</v>
      </c>
      <c r="E512" s="1">
        <f t="shared" si="28"/>
        <v>66.800267201068806</v>
      </c>
      <c r="F512" s="1">
        <v>1.4970000000000001E-2</v>
      </c>
      <c r="G512" s="1">
        <v>172.01</v>
      </c>
      <c r="H512" s="1">
        <v>435.66</v>
      </c>
      <c r="I512" s="1">
        <v>0.89910000000000001</v>
      </c>
      <c r="J512" s="1">
        <v>1.9086000000000001</v>
      </c>
      <c r="K512" s="1">
        <v>2.2730000000000001</v>
      </c>
      <c r="L512" s="1">
        <v>1.4570000000000001</v>
      </c>
      <c r="M512" s="1">
        <v>1.821</v>
      </c>
      <c r="N512" s="1">
        <v>643</v>
      </c>
      <c r="O512" s="1">
        <v>217.7</v>
      </c>
      <c r="P512" s="1">
        <v>122</v>
      </c>
      <c r="Q512" s="1">
        <v>13.7</v>
      </c>
      <c r="R512" s="1">
        <v>125</v>
      </c>
      <c r="S512" s="1">
        <v>16.54</v>
      </c>
      <c r="T512" s="1">
        <v>6.9</v>
      </c>
      <c r="U512" s="1">
        <v>-12</v>
      </c>
    </row>
    <row r="513" spans="1:21">
      <c r="A513" s="32">
        <v>-11</v>
      </c>
      <c r="B513" s="1">
        <v>2.5739999999999998</v>
      </c>
      <c r="C513" s="108">
        <f t="shared" si="27"/>
        <v>373.32781199999999</v>
      </c>
      <c r="D513" s="1">
        <v>988.1</v>
      </c>
      <c r="E513" s="1">
        <f t="shared" si="28"/>
        <v>68.965517241379303</v>
      </c>
      <c r="F513" s="1">
        <v>1.4500000000000001E-2</v>
      </c>
      <c r="G513" s="1">
        <v>174.26</v>
      </c>
      <c r="H513" s="1">
        <v>435.41</v>
      </c>
      <c r="I513" s="1">
        <v>0.90739999999999998</v>
      </c>
      <c r="J513" s="1">
        <v>1.9036</v>
      </c>
      <c r="K513" s="1">
        <v>2.29</v>
      </c>
      <c r="L513" s="1">
        <v>1.4830000000000001</v>
      </c>
      <c r="M513" s="1">
        <v>1.84</v>
      </c>
      <c r="N513" s="1">
        <v>635</v>
      </c>
      <c r="O513" s="1">
        <v>217.4</v>
      </c>
      <c r="P513" s="1">
        <v>120</v>
      </c>
      <c r="Q513" s="1">
        <v>13.78</v>
      </c>
      <c r="R513" s="1">
        <v>123.8</v>
      </c>
      <c r="S513" s="1">
        <v>16.739999999999998</v>
      </c>
      <c r="T513" s="1">
        <v>6.7</v>
      </c>
      <c r="U513" s="1">
        <v>-11</v>
      </c>
    </row>
    <row r="514" spans="1:21">
      <c r="A514" s="32">
        <v>-10</v>
      </c>
      <c r="B514" s="1">
        <v>2.6486999999999998</v>
      </c>
      <c r="C514" s="108">
        <f t="shared" si="27"/>
        <v>384.16215060000002</v>
      </c>
      <c r="D514" s="1">
        <v>982.9</v>
      </c>
      <c r="E514" s="1">
        <f t="shared" si="28"/>
        <v>71.17437722419929</v>
      </c>
      <c r="F514" s="1">
        <v>1.405E-2</v>
      </c>
      <c r="G514" s="1">
        <v>176.52</v>
      </c>
      <c r="H514" s="1">
        <v>435.14</v>
      </c>
      <c r="I514" s="1">
        <v>0.91569999999999996</v>
      </c>
      <c r="J514" s="1">
        <v>1.8985000000000001</v>
      </c>
      <c r="K514" s="1">
        <v>2.3069999999999999</v>
      </c>
      <c r="L514" s="1">
        <v>1.5089999999999999</v>
      </c>
      <c r="M514" s="1">
        <v>1.86</v>
      </c>
      <c r="N514" s="1">
        <v>626</v>
      </c>
      <c r="O514" s="1">
        <v>216.9</v>
      </c>
      <c r="P514" s="1">
        <v>118</v>
      </c>
      <c r="Q514" s="1">
        <v>13.86</v>
      </c>
      <c r="R514" s="1">
        <v>122.5</v>
      </c>
      <c r="S514" s="1">
        <v>16.96</v>
      </c>
      <c r="T514" s="1">
        <v>6.5</v>
      </c>
      <c r="U514" s="1">
        <v>-10</v>
      </c>
    </row>
    <row r="515" spans="1:21">
      <c r="A515" s="32">
        <v>-9</v>
      </c>
      <c r="B515" s="1">
        <v>2.7248999999999999</v>
      </c>
      <c r="C515" s="108">
        <f t="shared" si="27"/>
        <v>395.21404619999998</v>
      </c>
      <c r="D515" s="1">
        <v>977.7</v>
      </c>
      <c r="E515" s="1">
        <f t="shared" si="28"/>
        <v>73.475385745775156</v>
      </c>
      <c r="F515" s="1">
        <v>1.3610000000000001E-2</v>
      </c>
      <c r="G515" s="1">
        <v>178.8</v>
      </c>
      <c r="H515" s="1">
        <v>434.84</v>
      </c>
      <c r="I515" s="1">
        <v>0.92400000000000004</v>
      </c>
      <c r="J515" s="1">
        <v>1.8934</v>
      </c>
      <c r="K515" s="1">
        <v>2.3250000000000002</v>
      </c>
      <c r="L515" s="1">
        <v>1.5369999999999999</v>
      </c>
      <c r="M515" s="1">
        <v>1.881</v>
      </c>
      <c r="N515" s="1">
        <v>617</v>
      </c>
      <c r="O515" s="1">
        <v>216.5</v>
      </c>
      <c r="P515" s="1">
        <v>116.1</v>
      </c>
      <c r="Q515" s="1">
        <v>13.95</v>
      </c>
      <c r="R515" s="1">
        <v>121.3</v>
      </c>
      <c r="S515" s="1">
        <v>17.18</v>
      </c>
      <c r="T515" s="1">
        <v>6.29</v>
      </c>
      <c r="U515" s="1">
        <v>-9</v>
      </c>
    </row>
    <row r="516" spans="1:21">
      <c r="A516" s="32">
        <v>-8</v>
      </c>
      <c r="B516" s="1">
        <v>2.8027000000000002</v>
      </c>
      <c r="C516" s="108">
        <f t="shared" si="27"/>
        <v>406.49800260000006</v>
      </c>
      <c r="D516" s="1">
        <v>972.5</v>
      </c>
      <c r="E516" s="1">
        <f t="shared" si="28"/>
        <v>75.815011372251703</v>
      </c>
      <c r="F516" s="1">
        <v>1.319E-2</v>
      </c>
      <c r="G516" s="1">
        <v>181.09</v>
      </c>
      <c r="H516" s="1">
        <v>434.51</v>
      </c>
      <c r="I516" s="1">
        <v>0.93240000000000001</v>
      </c>
      <c r="J516" s="1">
        <v>1.8882000000000001</v>
      </c>
      <c r="K516" s="1">
        <v>2.3450000000000002</v>
      </c>
      <c r="L516" s="1">
        <v>1.5660000000000001</v>
      </c>
      <c r="M516" s="1">
        <v>1.9039999999999999</v>
      </c>
      <c r="N516" s="1">
        <v>609</v>
      </c>
      <c r="O516" s="1">
        <v>216.1</v>
      </c>
      <c r="P516" s="1">
        <v>114.1</v>
      </c>
      <c r="Q516" s="1">
        <v>14.03</v>
      </c>
      <c r="R516" s="1">
        <v>120.1</v>
      </c>
      <c r="S516" s="1">
        <v>17.420000000000002</v>
      </c>
      <c r="T516" s="1">
        <v>6.09</v>
      </c>
      <c r="U516" s="1">
        <v>-8</v>
      </c>
    </row>
    <row r="517" spans="1:21">
      <c r="A517" s="32">
        <v>-7</v>
      </c>
      <c r="B517" s="1">
        <v>2.8820999999999999</v>
      </c>
      <c r="C517" s="108">
        <f t="shared" si="27"/>
        <v>418.01401980000003</v>
      </c>
      <c r="D517" s="1">
        <v>967.1</v>
      </c>
      <c r="E517" s="1">
        <f t="shared" si="28"/>
        <v>78.247261345852891</v>
      </c>
      <c r="F517" s="1">
        <v>1.278E-2</v>
      </c>
      <c r="G517" s="1">
        <v>183.39</v>
      </c>
      <c r="H517" s="1">
        <v>434.17</v>
      </c>
      <c r="I517" s="1">
        <v>0.94079999999999997</v>
      </c>
      <c r="J517" s="1">
        <v>1.883</v>
      </c>
      <c r="K517" s="1">
        <v>2.3650000000000002</v>
      </c>
      <c r="L517" s="1">
        <v>1.597</v>
      </c>
      <c r="M517" s="1">
        <v>1.927</v>
      </c>
      <c r="N517" s="1">
        <v>600</v>
      </c>
      <c r="O517" s="1">
        <v>215.6</v>
      </c>
      <c r="P517" s="1">
        <v>112.2</v>
      </c>
      <c r="Q517" s="1">
        <v>14.12</v>
      </c>
      <c r="R517" s="1">
        <v>118.9</v>
      </c>
      <c r="S517" s="1">
        <v>17.66</v>
      </c>
      <c r="T517" s="1">
        <v>5.89</v>
      </c>
      <c r="U517" s="1">
        <v>-7</v>
      </c>
    </row>
    <row r="518" spans="1:21">
      <c r="A518" s="32">
        <v>-6</v>
      </c>
      <c r="B518" s="1">
        <v>2.9632000000000001</v>
      </c>
      <c r="C518" s="108">
        <f t="shared" si="27"/>
        <v>429.77660160000005</v>
      </c>
      <c r="D518" s="1">
        <v>961.7</v>
      </c>
      <c r="E518" s="1">
        <f t="shared" si="28"/>
        <v>80.775444264943459</v>
      </c>
      <c r="F518" s="1">
        <v>1.238E-2</v>
      </c>
      <c r="G518" s="1">
        <v>185.71</v>
      </c>
      <c r="H518" s="1">
        <v>433.79</v>
      </c>
      <c r="I518" s="1">
        <v>0.94910000000000005</v>
      </c>
      <c r="J518" s="1">
        <v>1.8777999999999999</v>
      </c>
      <c r="K518" s="1">
        <v>2.3860000000000001</v>
      </c>
      <c r="L518" s="1">
        <v>1.629</v>
      </c>
      <c r="M518" s="1">
        <v>1.952</v>
      </c>
      <c r="N518" s="1">
        <v>591</v>
      </c>
      <c r="O518" s="1">
        <v>215.2</v>
      </c>
      <c r="P518" s="1">
        <v>110.3</v>
      </c>
      <c r="Q518" s="1">
        <v>14.2</v>
      </c>
      <c r="R518" s="1">
        <v>117.7</v>
      </c>
      <c r="S518" s="1">
        <v>17.91</v>
      </c>
      <c r="T518" s="1">
        <v>5.7</v>
      </c>
      <c r="U518" s="1">
        <v>-6</v>
      </c>
    </row>
    <row r="519" spans="1:21">
      <c r="A519" s="32">
        <v>-5</v>
      </c>
      <c r="B519" s="1">
        <v>3.0459000000000001</v>
      </c>
      <c r="C519" s="108">
        <f t="shared" si="27"/>
        <v>441.77124420000001</v>
      </c>
      <c r="D519" s="1">
        <v>956.2</v>
      </c>
      <c r="E519" s="1">
        <f t="shared" si="28"/>
        <v>83.333333333333329</v>
      </c>
      <c r="F519" s="1">
        <v>1.2E-2</v>
      </c>
      <c r="G519" s="1">
        <v>188.05</v>
      </c>
      <c r="H519" s="1">
        <v>433.38</v>
      </c>
      <c r="I519" s="1">
        <v>0.95760000000000001</v>
      </c>
      <c r="J519" s="1">
        <v>1.8725000000000001</v>
      </c>
      <c r="K519" s="1">
        <v>2.4079999999999999</v>
      </c>
      <c r="L519" s="1">
        <v>1.663</v>
      </c>
      <c r="M519" s="1">
        <v>1.9790000000000001</v>
      </c>
      <c r="N519" s="1">
        <v>582</v>
      </c>
      <c r="O519" s="1">
        <v>214.7</v>
      </c>
      <c r="P519" s="1">
        <v>108.4</v>
      </c>
      <c r="Q519" s="1">
        <v>14.3</v>
      </c>
      <c r="R519" s="1">
        <v>116.5</v>
      </c>
      <c r="S519" s="1">
        <v>18.170000000000002</v>
      </c>
      <c r="T519" s="1">
        <v>5.5</v>
      </c>
      <c r="U519" s="1">
        <v>-5</v>
      </c>
    </row>
    <row r="520" spans="1:21">
      <c r="A520" s="32">
        <v>-4</v>
      </c>
      <c r="B520" s="1">
        <v>3.1303000000000001</v>
      </c>
      <c r="C520" s="108">
        <f t="shared" si="27"/>
        <v>454.01245140000003</v>
      </c>
      <c r="D520" s="1">
        <v>950.6</v>
      </c>
      <c r="E520" s="1">
        <f t="shared" si="28"/>
        <v>86.058519793459553</v>
      </c>
      <c r="F520" s="1">
        <v>1.162E-2</v>
      </c>
      <c r="G520" s="1">
        <v>190.4</v>
      </c>
      <c r="H520" s="1">
        <v>432.95</v>
      </c>
      <c r="I520" s="1">
        <v>0.96599999999999997</v>
      </c>
      <c r="J520" s="1">
        <v>1.8672</v>
      </c>
      <c r="K520" s="1">
        <v>2.4319999999999999</v>
      </c>
      <c r="L520" s="1">
        <v>1.6990000000000001</v>
      </c>
      <c r="M520" s="1">
        <v>2.0070000000000001</v>
      </c>
      <c r="N520" s="1">
        <v>573</v>
      </c>
      <c r="O520" s="1">
        <v>214.2</v>
      </c>
      <c r="P520" s="1">
        <v>106.6</v>
      </c>
      <c r="Q520" s="1">
        <v>14.39</v>
      </c>
      <c r="R520" s="1">
        <v>115.3</v>
      </c>
      <c r="S520" s="1">
        <v>18.440000000000001</v>
      </c>
      <c r="T520" s="1">
        <v>5.3</v>
      </c>
      <c r="U520" s="1">
        <v>-4</v>
      </c>
    </row>
    <row r="521" spans="1:21">
      <c r="A521" s="32">
        <v>-3</v>
      </c>
      <c r="B521" s="1">
        <v>3.2164000000000001</v>
      </c>
      <c r="C521" s="108">
        <f t="shared" si="27"/>
        <v>466.50022320000005</v>
      </c>
      <c r="D521" s="1">
        <v>945</v>
      </c>
      <c r="E521" s="1">
        <f t="shared" si="28"/>
        <v>88.80994671403198</v>
      </c>
      <c r="F521" s="1">
        <v>1.1259999999999999E-2</v>
      </c>
      <c r="G521" s="1">
        <v>192.77</v>
      </c>
      <c r="H521" s="1">
        <v>432.48</v>
      </c>
      <c r="I521" s="1">
        <v>0.97440000000000004</v>
      </c>
      <c r="J521" s="1">
        <v>1.8617999999999999</v>
      </c>
      <c r="K521" s="1">
        <v>2.4569999999999999</v>
      </c>
      <c r="L521" s="1">
        <v>1.7370000000000001</v>
      </c>
      <c r="M521" s="1">
        <v>2.0369999999999999</v>
      </c>
      <c r="N521" s="1">
        <v>564</v>
      </c>
      <c r="O521" s="1">
        <v>213.7</v>
      </c>
      <c r="P521" s="1">
        <v>104.8</v>
      </c>
      <c r="Q521" s="1">
        <v>14.48</v>
      </c>
      <c r="R521" s="1">
        <v>114.1</v>
      </c>
      <c r="S521" s="1">
        <v>18.73</v>
      </c>
      <c r="T521" s="1">
        <v>5.1100000000000003</v>
      </c>
      <c r="U521" s="1">
        <v>-3</v>
      </c>
    </row>
    <row r="522" spans="1:21">
      <c r="A522" s="32">
        <v>-2</v>
      </c>
      <c r="B522" s="1">
        <v>3.3041999999999998</v>
      </c>
      <c r="C522" s="108">
        <f t="shared" si="27"/>
        <v>479.23455960000001</v>
      </c>
      <c r="D522" s="1">
        <v>939.2</v>
      </c>
      <c r="E522" s="1">
        <f t="shared" si="28"/>
        <v>91.659028414298817</v>
      </c>
      <c r="F522" s="1">
        <v>1.091E-2</v>
      </c>
      <c r="G522" s="1">
        <v>195.16</v>
      </c>
      <c r="H522" s="1">
        <v>431.99</v>
      </c>
      <c r="I522" s="1">
        <v>0.9829</v>
      </c>
      <c r="J522" s="1">
        <v>1.8563000000000001</v>
      </c>
      <c r="K522" s="1">
        <v>2.484</v>
      </c>
      <c r="L522" s="1">
        <v>1.7769999999999999</v>
      </c>
      <c r="M522" s="1">
        <v>2.0680000000000001</v>
      </c>
      <c r="N522" s="1">
        <v>555</v>
      </c>
      <c r="O522" s="1">
        <v>213.1</v>
      </c>
      <c r="P522" s="1">
        <v>102.9</v>
      </c>
      <c r="Q522" s="1">
        <v>14.58</v>
      </c>
      <c r="R522" s="1">
        <v>112.9</v>
      </c>
      <c r="S522" s="1">
        <v>19.03</v>
      </c>
      <c r="T522" s="1">
        <v>4.92</v>
      </c>
      <c r="U522" s="1">
        <v>-2</v>
      </c>
    </row>
    <row r="523" spans="1:21">
      <c r="A523" s="32">
        <v>-1</v>
      </c>
      <c r="B523" s="1">
        <v>3.3938000000000001</v>
      </c>
      <c r="C523" s="108">
        <f t="shared" ref="C523:C586" si="29">B523*145.038</f>
        <v>492.22996440000009</v>
      </c>
      <c r="D523" s="1">
        <v>933.4</v>
      </c>
      <c r="E523" s="1">
        <f t="shared" ref="E523:E586" si="30">1/F523</f>
        <v>94.607379375591307</v>
      </c>
      <c r="F523" s="1">
        <v>1.057E-2</v>
      </c>
      <c r="G523" s="1">
        <v>197.57</v>
      </c>
      <c r="H523" s="1">
        <v>431.46</v>
      </c>
      <c r="I523" s="1">
        <v>0.99139999999999995</v>
      </c>
      <c r="J523" s="1">
        <v>1.8509</v>
      </c>
      <c r="K523" s="1">
        <v>2.512</v>
      </c>
      <c r="L523" s="1">
        <v>1.819</v>
      </c>
      <c r="M523" s="1">
        <v>2.1019999999999999</v>
      </c>
      <c r="N523" s="1">
        <v>546</v>
      </c>
      <c r="O523" s="1">
        <v>212.6</v>
      </c>
      <c r="P523" s="1">
        <v>101.2</v>
      </c>
      <c r="Q523" s="1">
        <v>14.68</v>
      </c>
      <c r="R523" s="1">
        <v>111.6</v>
      </c>
      <c r="S523" s="1">
        <v>19.34</v>
      </c>
      <c r="T523" s="1">
        <v>4.7300000000000004</v>
      </c>
      <c r="U523" s="1">
        <v>-1</v>
      </c>
    </row>
    <row r="524" spans="1:21">
      <c r="A524" s="32">
        <v>0</v>
      </c>
      <c r="B524" s="1">
        <v>3.4851000000000001</v>
      </c>
      <c r="C524" s="108">
        <f t="shared" si="29"/>
        <v>505.47193380000004</v>
      </c>
      <c r="D524" s="1">
        <v>927.4</v>
      </c>
      <c r="E524" s="1">
        <f t="shared" si="30"/>
        <v>97.656249999999986</v>
      </c>
      <c r="F524" s="1">
        <v>1.0240000000000001E-2</v>
      </c>
      <c r="G524" s="1">
        <v>200</v>
      </c>
      <c r="H524" s="1">
        <v>430.89</v>
      </c>
      <c r="I524" s="1">
        <v>1</v>
      </c>
      <c r="J524" s="1">
        <v>1.8452999999999999</v>
      </c>
      <c r="K524" s="1">
        <v>2.5419999999999998</v>
      </c>
      <c r="L524" s="1">
        <v>1.865</v>
      </c>
      <c r="M524" s="1">
        <v>2.1379999999999999</v>
      </c>
      <c r="N524" s="1">
        <v>536</v>
      </c>
      <c r="O524" s="1">
        <v>212</v>
      </c>
      <c r="P524" s="1">
        <v>99.4</v>
      </c>
      <c r="Q524" s="1">
        <v>14.79</v>
      </c>
      <c r="R524" s="1">
        <v>110.4</v>
      </c>
      <c r="S524" s="1">
        <v>19.670000000000002</v>
      </c>
      <c r="T524" s="1">
        <v>4.54</v>
      </c>
      <c r="U524" s="1">
        <v>0</v>
      </c>
    </row>
    <row r="525" spans="1:21">
      <c r="A525" s="32">
        <v>1</v>
      </c>
      <c r="B525" s="1">
        <v>3.5783</v>
      </c>
      <c r="C525" s="108">
        <f t="shared" si="29"/>
        <v>518.98947540000006</v>
      </c>
      <c r="D525" s="1">
        <v>921.4</v>
      </c>
      <c r="E525" s="1">
        <f t="shared" si="30"/>
        <v>100.80645161290323</v>
      </c>
      <c r="F525" s="1">
        <v>9.92E-3</v>
      </c>
      <c r="G525" s="1">
        <v>202.45</v>
      </c>
      <c r="H525" s="1">
        <v>430.29</v>
      </c>
      <c r="I525" s="1">
        <v>1.0085999999999999</v>
      </c>
      <c r="J525" s="1">
        <v>1.8396999999999999</v>
      </c>
      <c r="K525" s="1">
        <v>2.5739999999999998</v>
      </c>
      <c r="L525" s="1">
        <v>1.913</v>
      </c>
      <c r="M525" s="1">
        <v>2.1760000000000002</v>
      </c>
      <c r="N525" s="1">
        <v>527</v>
      </c>
      <c r="O525" s="1">
        <v>211.5</v>
      </c>
      <c r="P525" s="1">
        <v>97.6</v>
      </c>
      <c r="Q525" s="1">
        <v>14.89</v>
      </c>
      <c r="R525" s="1">
        <v>109.2</v>
      </c>
      <c r="S525" s="1">
        <v>20.02</v>
      </c>
      <c r="T525" s="1">
        <v>4.3499999999999996</v>
      </c>
      <c r="U525" s="1">
        <v>1</v>
      </c>
    </row>
    <row r="526" spans="1:21">
      <c r="A526" s="32">
        <v>2</v>
      </c>
      <c r="B526" s="1">
        <v>3.6732999999999998</v>
      </c>
      <c r="C526" s="108">
        <f t="shared" si="29"/>
        <v>532.76808540000002</v>
      </c>
      <c r="D526" s="1">
        <v>915.2</v>
      </c>
      <c r="E526" s="1">
        <f t="shared" si="30"/>
        <v>104.05827263267429</v>
      </c>
      <c r="F526" s="1">
        <v>9.6100000000000005E-3</v>
      </c>
      <c r="G526" s="1">
        <v>204.93</v>
      </c>
      <c r="H526" s="1">
        <v>429.65</v>
      </c>
      <c r="I526" s="1">
        <v>1.0172000000000001</v>
      </c>
      <c r="J526" s="1">
        <v>1.8340000000000001</v>
      </c>
      <c r="K526" s="1">
        <v>2.609</v>
      </c>
      <c r="L526" s="1">
        <v>1.9650000000000001</v>
      </c>
      <c r="M526" s="1">
        <v>2.218</v>
      </c>
      <c r="N526" s="1">
        <v>518</v>
      </c>
      <c r="O526" s="1">
        <v>210.9</v>
      </c>
      <c r="P526" s="1">
        <v>95.9</v>
      </c>
      <c r="Q526" s="1">
        <v>15</v>
      </c>
      <c r="R526" s="1">
        <v>108</v>
      </c>
      <c r="S526" s="1">
        <v>20.38</v>
      </c>
      <c r="T526" s="1">
        <v>4.17</v>
      </c>
      <c r="U526" s="1">
        <v>2</v>
      </c>
    </row>
    <row r="527" spans="1:21">
      <c r="A527" s="32">
        <v>3</v>
      </c>
      <c r="B527" s="1">
        <v>3.7700999999999998</v>
      </c>
      <c r="C527" s="108">
        <f t="shared" si="29"/>
        <v>546.80776379999998</v>
      </c>
      <c r="D527" s="1">
        <v>909</v>
      </c>
      <c r="E527" s="1">
        <f t="shared" si="30"/>
        <v>107.41138560687432</v>
      </c>
      <c r="F527" s="1">
        <v>9.3100000000000006E-3</v>
      </c>
      <c r="G527" s="1">
        <v>207.43</v>
      </c>
      <c r="H527" s="1">
        <v>428.97</v>
      </c>
      <c r="I527" s="1">
        <v>1.0259</v>
      </c>
      <c r="J527" s="1">
        <v>1.8282</v>
      </c>
      <c r="K527" s="1">
        <v>2.645</v>
      </c>
      <c r="L527" s="1">
        <v>2.02</v>
      </c>
      <c r="M527" s="1">
        <v>2.262</v>
      </c>
      <c r="N527" s="1">
        <v>508</v>
      </c>
      <c r="O527" s="1">
        <v>210.3</v>
      </c>
      <c r="P527" s="1">
        <v>94.2</v>
      </c>
      <c r="Q527" s="1">
        <v>15.12</v>
      </c>
      <c r="R527" s="1">
        <v>106.8</v>
      </c>
      <c r="S527" s="1">
        <v>20.76</v>
      </c>
      <c r="T527" s="1">
        <v>3.99</v>
      </c>
      <c r="U527" s="1">
        <v>3</v>
      </c>
    </row>
    <row r="528" spans="1:21">
      <c r="A528" s="32">
        <v>4</v>
      </c>
      <c r="B528" s="1">
        <v>3.8687999999999998</v>
      </c>
      <c r="C528" s="108">
        <f t="shared" si="29"/>
        <v>561.12301439999999</v>
      </c>
      <c r="D528" s="1">
        <v>902.6</v>
      </c>
      <c r="E528" s="1">
        <f t="shared" si="30"/>
        <v>110.98779134295226</v>
      </c>
      <c r="F528" s="1">
        <v>9.0100000000000006E-3</v>
      </c>
      <c r="G528" s="1">
        <v>209.95</v>
      </c>
      <c r="H528" s="1">
        <v>428.25</v>
      </c>
      <c r="I528" s="1">
        <v>1.0346</v>
      </c>
      <c r="J528" s="1">
        <v>1.8223</v>
      </c>
      <c r="K528" s="1">
        <v>2.6850000000000001</v>
      </c>
      <c r="L528" s="1">
        <v>2.08</v>
      </c>
      <c r="M528" s="1">
        <v>2.3090000000000002</v>
      </c>
      <c r="N528" s="1">
        <v>499</v>
      </c>
      <c r="O528" s="1">
        <v>209.6</v>
      </c>
      <c r="P528" s="1">
        <v>92.5</v>
      </c>
      <c r="Q528" s="1">
        <v>15.24</v>
      </c>
      <c r="R528" s="1">
        <v>105.5</v>
      </c>
      <c r="S528" s="1">
        <v>21.17</v>
      </c>
      <c r="T528" s="1">
        <v>3.8</v>
      </c>
      <c r="U528" s="1">
        <v>4</v>
      </c>
    </row>
    <row r="529" spans="1:21">
      <c r="A529" s="32">
        <v>5</v>
      </c>
      <c r="B529" s="1">
        <v>3.9695</v>
      </c>
      <c r="C529" s="108">
        <f t="shared" si="29"/>
        <v>575.728341</v>
      </c>
      <c r="D529" s="1">
        <v>896</v>
      </c>
      <c r="E529" s="1">
        <f t="shared" si="30"/>
        <v>114.6788990825688</v>
      </c>
      <c r="F529" s="1">
        <v>8.7200000000000003E-3</v>
      </c>
      <c r="G529" s="1">
        <v>212.5</v>
      </c>
      <c r="H529" s="1">
        <v>427.48</v>
      </c>
      <c r="I529" s="1">
        <v>1.0434000000000001</v>
      </c>
      <c r="J529" s="1">
        <v>1.8163</v>
      </c>
      <c r="K529" s="1">
        <v>2.7269999999999999</v>
      </c>
      <c r="L529" s="1">
        <v>2.1440000000000001</v>
      </c>
      <c r="M529" s="1">
        <v>2.36</v>
      </c>
      <c r="N529" s="1">
        <v>489</v>
      </c>
      <c r="O529" s="1">
        <v>209</v>
      </c>
      <c r="P529" s="1">
        <v>90.8</v>
      </c>
      <c r="Q529" s="1">
        <v>15.36</v>
      </c>
      <c r="R529" s="1">
        <v>104.3</v>
      </c>
      <c r="S529" s="1">
        <v>21.6</v>
      </c>
      <c r="T529" s="1">
        <v>3.62</v>
      </c>
      <c r="U529" s="1">
        <v>5</v>
      </c>
    </row>
    <row r="530" spans="1:21">
      <c r="A530" s="32">
        <v>6</v>
      </c>
      <c r="B530" s="1">
        <v>4.0720000000000001</v>
      </c>
      <c r="C530" s="108">
        <f t="shared" si="29"/>
        <v>590.59473600000001</v>
      </c>
      <c r="D530" s="1">
        <v>889.4</v>
      </c>
      <c r="E530" s="1">
        <f t="shared" si="30"/>
        <v>118.3431952662722</v>
      </c>
      <c r="F530" s="1">
        <v>8.4499999999999992E-3</v>
      </c>
      <c r="G530" s="1">
        <v>215.08</v>
      </c>
      <c r="H530" s="1">
        <v>426.67</v>
      </c>
      <c r="I530" s="1">
        <v>1.0523</v>
      </c>
      <c r="J530" s="1">
        <v>1.8102</v>
      </c>
      <c r="K530" s="1">
        <v>2.7719999999999998</v>
      </c>
      <c r="L530" s="1">
        <v>2.2130000000000001</v>
      </c>
      <c r="M530" s="1">
        <v>2.4159999999999999</v>
      </c>
      <c r="N530" s="1">
        <v>480</v>
      </c>
      <c r="O530" s="1">
        <v>208.3</v>
      </c>
      <c r="P530" s="1">
        <v>89.1</v>
      </c>
      <c r="Q530" s="1">
        <v>15.49</v>
      </c>
      <c r="R530" s="1">
        <v>103.1</v>
      </c>
      <c r="S530" s="1">
        <v>22.06</v>
      </c>
      <c r="T530" s="1">
        <v>3.45</v>
      </c>
      <c r="U530" s="1">
        <v>6</v>
      </c>
    </row>
    <row r="531" spans="1:21">
      <c r="A531" s="32">
        <v>7</v>
      </c>
      <c r="B531" s="1">
        <v>4.1764999999999999</v>
      </c>
      <c r="C531" s="108">
        <f t="shared" si="29"/>
        <v>605.75120700000002</v>
      </c>
      <c r="D531" s="1">
        <v>882.6</v>
      </c>
      <c r="E531" s="1">
        <f t="shared" si="30"/>
        <v>122.39902080783354</v>
      </c>
      <c r="F531" s="1">
        <v>8.1700000000000002E-3</v>
      </c>
      <c r="G531" s="1">
        <v>217.69</v>
      </c>
      <c r="H531" s="1">
        <v>425.81</v>
      </c>
      <c r="I531" s="1">
        <v>1.0611999999999999</v>
      </c>
      <c r="J531" s="1">
        <v>1.8041</v>
      </c>
      <c r="K531" s="1">
        <v>2.8220000000000001</v>
      </c>
      <c r="L531" s="1">
        <v>2.2890000000000001</v>
      </c>
      <c r="M531" s="1">
        <v>2.476</v>
      </c>
      <c r="N531" s="1">
        <v>470</v>
      </c>
      <c r="O531" s="1">
        <v>207.6</v>
      </c>
      <c r="P531" s="1">
        <v>87.5</v>
      </c>
      <c r="Q531" s="1">
        <v>15.62</v>
      </c>
      <c r="R531" s="1">
        <v>101.8</v>
      </c>
      <c r="S531" s="1">
        <v>22.54</v>
      </c>
      <c r="T531" s="1">
        <v>3.27</v>
      </c>
      <c r="U531" s="1">
        <v>7</v>
      </c>
    </row>
    <row r="532" spans="1:21">
      <c r="A532" s="32">
        <v>8</v>
      </c>
      <c r="B532" s="1">
        <v>4.2831000000000001</v>
      </c>
      <c r="C532" s="108">
        <f t="shared" si="29"/>
        <v>621.21225780000009</v>
      </c>
      <c r="D532" s="1">
        <v>875.6</v>
      </c>
      <c r="E532" s="1">
        <f t="shared" si="30"/>
        <v>126.42225031605562</v>
      </c>
      <c r="F532" s="1">
        <v>7.9100000000000004E-3</v>
      </c>
      <c r="G532" s="1">
        <v>220.34</v>
      </c>
      <c r="H532" s="1">
        <v>424.89</v>
      </c>
      <c r="I532" s="1">
        <v>1.0702</v>
      </c>
      <c r="J532" s="1">
        <v>1.7977000000000001</v>
      </c>
      <c r="K532" s="1">
        <v>2.875</v>
      </c>
      <c r="L532" s="1">
        <v>2.37</v>
      </c>
      <c r="M532" s="1">
        <v>2.5409999999999999</v>
      </c>
      <c r="N532" s="1">
        <v>460</v>
      </c>
      <c r="O532" s="1">
        <v>206.9</v>
      </c>
      <c r="P532" s="1">
        <v>85.8</v>
      </c>
      <c r="Q532" s="1">
        <v>15.76</v>
      </c>
      <c r="R532" s="1">
        <v>100.6</v>
      </c>
      <c r="S532" s="1">
        <v>23.06</v>
      </c>
      <c r="T532" s="1">
        <v>3.1</v>
      </c>
      <c r="U532" s="1">
        <v>8</v>
      </c>
    </row>
    <row r="533" spans="1:21">
      <c r="A533" s="32">
        <v>9</v>
      </c>
      <c r="B533" s="1">
        <v>4.3916000000000004</v>
      </c>
      <c r="C533" s="108">
        <f t="shared" si="29"/>
        <v>636.9488808000001</v>
      </c>
      <c r="D533" s="1">
        <v>868.4</v>
      </c>
      <c r="E533" s="1">
        <f t="shared" si="30"/>
        <v>130.71895424836603</v>
      </c>
      <c r="F533" s="1">
        <v>7.6499999999999997E-3</v>
      </c>
      <c r="G533" s="1">
        <v>223.01</v>
      </c>
      <c r="H533" s="1">
        <v>423.92</v>
      </c>
      <c r="I533" s="1">
        <v>1.0791999999999999</v>
      </c>
      <c r="J533" s="1">
        <v>1.7912999999999999</v>
      </c>
      <c r="K533" s="1">
        <v>2.9340000000000002</v>
      </c>
      <c r="L533" s="1">
        <v>2.46</v>
      </c>
      <c r="M533" s="1">
        <v>2.6120000000000001</v>
      </c>
      <c r="N533" s="1">
        <v>451</v>
      </c>
      <c r="O533" s="1">
        <v>206.2</v>
      </c>
      <c r="P533" s="1">
        <v>84.2</v>
      </c>
      <c r="Q533" s="1">
        <v>15.91</v>
      </c>
      <c r="R533" s="1">
        <v>99.4</v>
      </c>
      <c r="S533" s="1">
        <v>23.61</v>
      </c>
      <c r="T533" s="1">
        <v>2.93</v>
      </c>
      <c r="U533" s="1">
        <v>9</v>
      </c>
    </row>
    <row r="534" spans="1:21">
      <c r="A534" s="32">
        <v>10</v>
      </c>
      <c r="B534" s="1">
        <v>4.5022000000000002</v>
      </c>
      <c r="C534" s="108">
        <f t="shared" si="29"/>
        <v>652.99008360000005</v>
      </c>
      <c r="D534" s="1">
        <v>861.1</v>
      </c>
      <c r="E534" s="1">
        <f t="shared" si="30"/>
        <v>135.13513513513513</v>
      </c>
      <c r="F534" s="1">
        <v>7.4000000000000003E-3</v>
      </c>
      <c r="G534" s="1">
        <v>225.73</v>
      </c>
      <c r="H534" s="1">
        <v>422.88</v>
      </c>
      <c r="I534" s="1">
        <v>1.0884</v>
      </c>
      <c r="J534" s="1">
        <v>1.7847</v>
      </c>
      <c r="K534" s="1">
        <v>2.9980000000000002</v>
      </c>
      <c r="L534" s="1">
        <v>2.5579999999999998</v>
      </c>
      <c r="M534" s="1">
        <v>2.69</v>
      </c>
      <c r="N534" s="1">
        <v>441</v>
      </c>
      <c r="O534" s="1">
        <v>205.4</v>
      </c>
      <c r="P534" s="1">
        <v>82.6</v>
      </c>
      <c r="Q534" s="1">
        <v>16.059999999999999</v>
      </c>
      <c r="R534" s="1">
        <v>98.1</v>
      </c>
      <c r="S534" s="1">
        <v>24.21</v>
      </c>
      <c r="T534" s="1">
        <v>2.76</v>
      </c>
      <c r="U534" s="1">
        <v>10</v>
      </c>
    </row>
    <row r="535" spans="1:21">
      <c r="A535" s="32">
        <v>11</v>
      </c>
      <c r="B535" s="1">
        <v>4.6148999999999996</v>
      </c>
      <c r="C535" s="108">
        <f t="shared" si="29"/>
        <v>669.33586619999994</v>
      </c>
      <c r="D535" s="1">
        <v>853.6</v>
      </c>
      <c r="E535" s="1">
        <f t="shared" si="30"/>
        <v>139.86013986013987</v>
      </c>
      <c r="F535" s="1">
        <v>7.1500000000000001E-3</v>
      </c>
      <c r="G535" s="1">
        <v>228.49</v>
      </c>
      <c r="H535" s="1">
        <v>421.79</v>
      </c>
      <c r="I535" s="1">
        <v>1.0975999999999999</v>
      </c>
      <c r="J535" s="1">
        <v>1.7779</v>
      </c>
      <c r="K535" s="1">
        <v>3.0680000000000001</v>
      </c>
      <c r="L535" s="1">
        <v>2.6659999999999999</v>
      </c>
      <c r="M535" s="1">
        <v>2.7759999999999998</v>
      </c>
      <c r="N535" s="1">
        <v>431</v>
      </c>
      <c r="O535" s="1">
        <v>204.6</v>
      </c>
      <c r="P535" s="1">
        <v>80.900000000000006</v>
      </c>
      <c r="Q535" s="1">
        <v>16.22</v>
      </c>
      <c r="R535" s="1">
        <v>96.9</v>
      </c>
      <c r="S535" s="1">
        <v>24.84</v>
      </c>
      <c r="T535" s="1">
        <v>2.59</v>
      </c>
      <c r="U535" s="1">
        <v>11</v>
      </c>
    </row>
    <row r="536" spans="1:21">
      <c r="A536" s="32">
        <v>12</v>
      </c>
      <c r="B536" s="1">
        <v>4.7297000000000002</v>
      </c>
      <c r="C536" s="108">
        <f t="shared" si="29"/>
        <v>685.98622860000012</v>
      </c>
      <c r="D536" s="1">
        <v>845.9</v>
      </c>
      <c r="E536" s="1">
        <f t="shared" si="30"/>
        <v>144.71780028943559</v>
      </c>
      <c r="F536" s="1">
        <v>6.9100000000000003E-3</v>
      </c>
      <c r="G536" s="1">
        <v>231.29</v>
      </c>
      <c r="H536" s="1">
        <v>420.62</v>
      </c>
      <c r="I536" s="1">
        <v>1.107</v>
      </c>
      <c r="J536" s="1">
        <v>1.7709999999999999</v>
      </c>
      <c r="K536" s="1">
        <v>3.145</v>
      </c>
      <c r="L536" s="1">
        <v>2.786</v>
      </c>
      <c r="M536" s="1">
        <v>2.871</v>
      </c>
      <c r="N536" s="1">
        <v>421</v>
      </c>
      <c r="O536" s="1">
        <v>203.8</v>
      </c>
      <c r="P536" s="1">
        <v>79.3</v>
      </c>
      <c r="Q536" s="1">
        <v>16.39</v>
      </c>
      <c r="R536" s="1">
        <v>95.6</v>
      </c>
      <c r="S536" s="1">
        <v>25.53</v>
      </c>
      <c r="T536" s="1">
        <v>2.42</v>
      </c>
      <c r="U536" s="1">
        <v>12</v>
      </c>
    </row>
    <row r="537" spans="1:21">
      <c r="A537" s="32">
        <v>13</v>
      </c>
      <c r="B537" s="1">
        <v>4.8465999999999996</v>
      </c>
      <c r="C537" s="108">
        <f t="shared" si="29"/>
        <v>702.94117080000001</v>
      </c>
      <c r="D537" s="1">
        <v>837.9</v>
      </c>
      <c r="E537" s="1">
        <f t="shared" si="30"/>
        <v>149.70059880239521</v>
      </c>
      <c r="F537" s="1">
        <v>6.6800000000000002E-3</v>
      </c>
      <c r="G537" s="1">
        <v>234.13</v>
      </c>
      <c r="H537" s="1">
        <v>419.37</v>
      </c>
      <c r="I537" s="1">
        <v>1.1165</v>
      </c>
      <c r="J537" s="1">
        <v>1.7638</v>
      </c>
      <c r="K537" s="1">
        <v>3.2320000000000002</v>
      </c>
      <c r="L537" s="1">
        <v>2.919</v>
      </c>
      <c r="M537" s="1">
        <v>2.9769999999999999</v>
      </c>
      <c r="N537" s="1">
        <v>411</v>
      </c>
      <c r="O537" s="1">
        <v>203</v>
      </c>
      <c r="P537" s="1">
        <v>77.7</v>
      </c>
      <c r="Q537" s="1">
        <v>16.559999999999999</v>
      </c>
      <c r="R537" s="1">
        <v>94.4</v>
      </c>
      <c r="S537" s="1">
        <v>26.27</v>
      </c>
      <c r="T537" s="1">
        <v>2.2599999999999998</v>
      </c>
      <c r="U537" s="1">
        <v>13</v>
      </c>
    </row>
    <row r="538" spans="1:21">
      <c r="A538" s="32">
        <v>14</v>
      </c>
      <c r="B538" s="1">
        <v>4.9657999999999998</v>
      </c>
      <c r="C538" s="108">
        <f t="shared" si="29"/>
        <v>720.22970040000007</v>
      </c>
      <c r="D538" s="1">
        <v>829.7</v>
      </c>
      <c r="E538" s="1">
        <f t="shared" si="30"/>
        <v>155.03875968992247</v>
      </c>
      <c r="F538" s="1">
        <v>6.45E-3</v>
      </c>
      <c r="G538" s="1">
        <v>237.03</v>
      </c>
      <c r="H538" s="1">
        <v>418.05</v>
      </c>
      <c r="I538" s="1">
        <v>1.1261000000000001</v>
      </c>
      <c r="J538" s="1">
        <v>1.7565</v>
      </c>
      <c r="K538" s="1">
        <v>3.3279999999999998</v>
      </c>
      <c r="L538" s="1">
        <v>3.0680000000000001</v>
      </c>
      <c r="M538" s="1">
        <v>3.0950000000000002</v>
      </c>
      <c r="N538" s="1">
        <v>401</v>
      </c>
      <c r="O538" s="1">
        <v>202.1</v>
      </c>
      <c r="P538" s="1">
        <v>76.099999999999994</v>
      </c>
      <c r="Q538" s="1">
        <v>16.75</v>
      </c>
      <c r="R538" s="1">
        <v>93.1</v>
      </c>
      <c r="S538" s="1">
        <v>27.08</v>
      </c>
      <c r="T538" s="1">
        <v>2.1</v>
      </c>
      <c r="U538" s="1">
        <v>14</v>
      </c>
    </row>
    <row r="539" spans="1:21">
      <c r="A539" s="32">
        <v>15</v>
      </c>
      <c r="B539" s="1">
        <v>5.0870100000000003</v>
      </c>
      <c r="C539" s="108">
        <f t="shared" si="29"/>
        <v>737.80975638000007</v>
      </c>
      <c r="D539" s="1">
        <v>821.2</v>
      </c>
      <c r="E539" s="1">
        <f t="shared" si="30"/>
        <v>160.77170418006432</v>
      </c>
      <c r="F539" s="1">
        <v>6.2199999999999998E-3</v>
      </c>
      <c r="G539" s="1">
        <v>239.99</v>
      </c>
      <c r="H539" s="1">
        <v>416.64</v>
      </c>
      <c r="I539" s="1">
        <v>1.1358999999999999</v>
      </c>
      <c r="J539" s="1">
        <v>1.7488999999999999</v>
      </c>
      <c r="K539" s="1">
        <v>3.4359999999999999</v>
      </c>
      <c r="L539" s="1">
        <v>3.2370000000000001</v>
      </c>
      <c r="M539" s="1">
        <v>3.2280000000000002</v>
      </c>
      <c r="N539" s="1">
        <v>391</v>
      </c>
      <c r="O539" s="1">
        <v>201.2</v>
      </c>
      <c r="P539" s="1">
        <v>74.400000000000006</v>
      </c>
      <c r="Q539" s="1">
        <v>16.95</v>
      </c>
      <c r="R539" s="1">
        <v>91.9</v>
      </c>
      <c r="S539" s="1">
        <v>27.96</v>
      </c>
      <c r="T539" s="1">
        <v>1.95</v>
      </c>
      <c r="U539" s="1">
        <v>15</v>
      </c>
    </row>
    <row r="540" spans="1:21">
      <c r="A540" s="32">
        <v>16</v>
      </c>
      <c r="B540" s="1">
        <v>5.2107999999999999</v>
      </c>
      <c r="C540" s="108">
        <f t="shared" si="29"/>
        <v>755.76401040000007</v>
      </c>
      <c r="D540" s="1">
        <v>812.4</v>
      </c>
      <c r="E540" s="1">
        <f t="shared" si="30"/>
        <v>166.66666666666666</v>
      </c>
      <c r="F540" s="1">
        <v>6.0000000000000001E-3</v>
      </c>
      <c r="G540" s="1">
        <v>243.01</v>
      </c>
      <c r="H540" s="1">
        <v>415.12</v>
      </c>
      <c r="I540" s="1">
        <v>1.1457999999999999</v>
      </c>
      <c r="J540" s="1">
        <v>1.7411000000000001</v>
      </c>
      <c r="K540" s="1">
        <v>3.5579999999999998</v>
      </c>
      <c r="L540" s="1">
        <v>3.4289999999999998</v>
      </c>
      <c r="M540" s="1">
        <v>3.3780000000000001</v>
      </c>
      <c r="N540" s="1">
        <v>381</v>
      </c>
      <c r="O540" s="1">
        <v>200.3</v>
      </c>
      <c r="P540" s="1">
        <v>72.8</v>
      </c>
      <c r="Q540" s="1">
        <v>17.16</v>
      </c>
      <c r="R540" s="1">
        <v>90.6</v>
      </c>
      <c r="S540" s="1">
        <v>28.93</v>
      </c>
      <c r="T540" s="1">
        <v>1.79</v>
      </c>
      <c r="U540" s="1">
        <v>16</v>
      </c>
    </row>
    <row r="541" spans="1:21">
      <c r="A541" s="32">
        <v>17</v>
      </c>
      <c r="B541" s="1">
        <v>5.3368000000000002</v>
      </c>
      <c r="C541" s="108">
        <f t="shared" si="29"/>
        <v>774.03879840000013</v>
      </c>
      <c r="D541" s="1">
        <v>803.3</v>
      </c>
      <c r="E541" s="1">
        <f t="shared" si="30"/>
        <v>173.01038062283735</v>
      </c>
      <c r="F541" s="1">
        <v>5.7800000000000004E-3</v>
      </c>
      <c r="G541" s="1">
        <v>246.1</v>
      </c>
      <c r="H541" s="1">
        <v>413.5</v>
      </c>
      <c r="I541" s="1">
        <v>1.1558999999999999</v>
      </c>
      <c r="J541" s="1">
        <v>1.7329000000000001</v>
      </c>
      <c r="K541" s="1">
        <v>3.698</v>
      </c>
      <c r="L541" s="1">
        <v>3.649</v>
      </c>
      <c r="M541" s="1">
        <v>3.55</v>
      </c>
      <c r="N541" s="1">
        <v>370</v>
      </c>
      <c r="O541" s="1">
        <v>199.3</v>
      </c>
      <c r="P541" s="1">
        <v>71.2</v>
      </c>
      <c r="Q541" s="1">
        <v>17.39</v>
      </c>
      <c r="R541" s="1">
        <v>89.4</v>
      </c>
      <c r="S541" s="1">
        <v>29.99</v>
      </c>
      <c r="T541" s="1">
        <v>1.64</v>
      </c>
      <c r="U541" s="1">
        <v>17</v>
      </c>
    </row>
    <row r="542" spans="1:21">
      <c r="A542" s="32">
        <v>18</v>
      </c>
      <c r="B542" s="1">
        <v>5.4650999999999996</v>
      </c>
      <c r="C542" s="108">
        <f t="shared" si="29"/>
        <v>792.64717380000002</v>
      </c>
      <c r="D542" s="1">
        <v>793.8</v>
      </c>
      <c r="E542" s="1">
        <f t="shared" si="30"/>
        <v>179.53321364452424</v>
      </c>
      <c r="F542" s="1">
        <v>5.5700000000000003E-3</v>
      </c>
      <c r="G542" s="1">
        <v>249.26</v>
      </c>
      <c r="H542" s="1">
        <v>411.76</v>
      </c>
      <c r="I542" s="1">
        <v>1.1662999999999999</v>
      </c>
      <c r="J542" s="1">
        <v>1.7243999999999999</v>
      </c>
      <c r="K542" s="1">
        <v>3.8580000000000001</v>
      </c>
      <c r="L542" s="1">
        <v>3.9049999999999998</v>
      </c>
      <c r="M542" s="1">
        <v>3.7480000000000002</v>
      </c>
      <c r="N542" s="1">
        <v>360</v>
      </c>
      <c r="O542" s="1">
        <v>198.3</v>
      </c>
      <c r="P542" s="1">
        <v>69.5</v>
      </c>
      <c r="Q542" s="1">
        <v>17.64</v>
      </c>
      <c r="R542" s="1">
        <v>88.1</v>
      </c>
      <c r="S542" s="1">
        <v>31.16</v>
      </c>
      <c r="T542" s="1">
        <v>1.49</v>
      </c>
      <c r="U542" s="1">
        <v>18</v>
      </c>
    </row>
    <row r="543" spans="1:21">
      <c r="A543" s="32">
        <v>19</v>
      </c>
      <c r="B543" s="1">
        <v>5.5957999999999997</v>
      </c>
      <c r="C543" s="108">
        <f t="shared" si="29"/>
        <v>811.60364040000002</v>
      </c>
      <c r="D543" s="1">
        <v>783.8</v>
      </c>
      <c r="E543" s="1">
        <f t="shared" si="30"/>
        <v>186.56716417910448</v>
      </c>
      <c r="F543" s="1">
        <v>5.3600000000000002E-3</v>
      </c>
      <c r="G543" s="1">
        <v>252.52</v>
      </c>
      <c r="H543" s="1">
        <v>409.89</v>
      </c>
      <c r="I543" s="1">
        <v>1.1769000000000001</v>
      </c>
      <c r="J543" s="1">
        <v>1.7155</v>
      </c>
      <c r="K543" s="1">
        <v>4.0439999999999996</v>
      </c>
      <c r="L543" s="1">
        <v>4.2039999999999997</v>
      </c>
      <c r="M543" s="1">
        <v>3.9790000000000001</v>
      </c>
      <c r="N543" s="1">
        <v>349</v>
      </c>
      <c r="O543" s="1">
        <v>197.2</v>
      </c>
      <c r="P543" s="1">
        <v>67.8</v>
      </c>
      <c r="Q543" s="1">
        <v>17.899999999999999</v>
      </c>
      <c r="R543" s="1">
        <v>86.9</v>
      </c>
      <c r="S543" s="1">
        <v>32.47</v>
      </c>
      <c r="T543" s="1">
        <v>1.35</v>
      </c>
      <c r="U543" s="1">
        <v>19</v>
      </c>
    </row>
    <row r="544" spans="1:21">
      <c r="A544" s="32">
        <v>20</v>
      </c>
      <c r="B544" s="1">
        <v>5.7290999999999999</v>
      </c>
      <c r="C544" s="108">
        <f t="shared" si="29"/>
        <v>830.93720580000002</v>
      </c>
      <c r="D544" s="1">
        <v>773.4</v>
      </c>
      <c r="E544" s="1">
        <f t="shared" si="30"/>
        <v>194.17475728155338</v>
      </c>
      <c r="F544" s="1">
        <v>5.1500000000000001E-3</v>
      </c>
      <c r="G544" s="1">
        <v>255.87</v>
      </c>
      <c r="H544" s="1">
        <v>407.87</v>
      </c>
      <c r="I544" s="1">
        <v>1.1877</v>
      </c>
      <c r="J544" s="1">
        <v>1.7061999999999999</v>
      </c>
      <c r="K544" s="1">
        <v>4.2640000000000002</v>
      </c>
      <c r="L544" s="1">
        <v>4.5599999999999996</v>
      </c>
      <c r="M544" s="1">
        <v>4.2519999999999998</v>
      </c>
      <c r="N544" s="1">
        <v>338</v>
      </c>
      <c r="O544" s="1">
        <v>196.1</v>
      </c>
      <c r="P544" s="1">
        <v>66.099999999999994</v>
      </c>
      <c r="Q544" s="1">
        <v>18.190000000000001</v>
      </c>
      <c r="R544" s="1">
        <v>85.7</v>
      </c>
      <c r="S544" s="1">
        <v>33.94</v>
      </c>
      <c r="T544" s="1">
        <v>1.2</v>
      </c>
      <c r="U544" s="1">
        <v>20</v>
      </c>
    </row>
    <row r="545" spans="1:21">
      <c r="A545" s="32">
        <v>21</v>
      </c>
      <c r="B545" s="1">
        <v>5.8647999999999998</v>
      </c>
      <c r="C545" s="108">
        <f t="shared" si="29"/>
        <v>850.61886240000001</v>
      </c>
      <c r="D545" s="1">
        <v>762.4</v>
      </c>
      <c r="E545" s="1">
        <f t="shared" si="30"/>
        <v>202.42914979757086</v>
      </c>
      <c r="F545" s="1">
        <v>4.9399999999999999E-3</v>
      </c>
      <c r="G545" s="1">
        <v>259.33</v>
      </c>
      <c r="H545" s="1">
        <v>405.67</v>
      </c>
      <c r="I545" s="1">
        <v>1.1989000000000001</v>
      </c>
      <c r="J545" s="1">
        <v>1.6963999999999999</v>
      </c>
      <c r="K545" s="1">
        <v>4.5259999999999998</v>
      </c>
      <c r="L545" s="1">
        <v>4.99</v>
      </c>
      <c r="M545" s="1">
        <v>4.5780000000000003</v>
      </c>
      <c r="N545" s="1">
        <v>326</v>
      </c>
      <c r="O545" s="1">
        <v>194.9</v>
      </c>
      <c r="P545" s="1">
        <v>64.400000000000006</v>
      </c>
      <c r="Q545" s="1">
        <v>18.5</v>
      </c>
      <c r="R545" s="1">
        <v>84.5</v>
      </c>
      <c r="S545" s="1">
        <v>35.61</v>
      </c>
      <c r="T545" s="1">
        <v>1.06</v>
      </c>
      <c r="U545" s="1">
        <v>21</v>
      </c>
    </row>
    <row r="546" spans="1:21">
      <c r="A546" s="32">
        <v>22</v>
      </c>
      <c r="B546" s="1">
        <v>6.0030999999999999</v>
      </c>
      <c r="C546" s="108">
        <f t="shared" si="29"/>
        <v>870.67761780000001</v>
      </c>
      <c r="D546" s="1">
        <v>750.8</v>
      </c>
      <c r="E546" s="1">
        <f t="shared" si="30"/>
        <v>210.97046413502107</v>
      </c>
      <c r="F546" s="1">
        <v>4.7400000000000003E-3</v>
      </c>
      <c r="G546" s="1">
        <v>262.93</v>
      </c>
      <c r="H546" s="1">
        <v>403.26</v>
      </c>
      <c r="I546" s="1">
        <v>1.2104999999999999</v>
      </c>
      <c r="J546" s="1">
        <v>1.6859999999999999</v>
      </c>
      <c r="K546" s="1">
        <v>4.8460000000000001</v>
      </c>
      <c r="L546" s="1">
        <v>5.5190000000000001</v>
      </c>
      <c r="M546" s="1">
        <v>4.976</v>
      </c>
      <c r="N546" s="1">
        <v>314</v>
      </c>
      <c r="O546" s="1">
        <v>193.6</v>
      </c>
      <c r="P546" s="1">
        <v>62.7</v>
      </c>
      <c r="Q546" s="1">
        <v>18.850000000000001</v>
      </c>
      <c r="R546" s="1">
        <v>83.4</v>
      </c>
      <c r="S546" s="1">
        <v>37.520000000000003</v>
      </c>
      <c r="T546" s="1">
        <v>0.93</v>
      </c>
      <c r="U546" s="1">
        <v>22</v>
      </c>
    </row>
    <row r="547" spans="1:21">
      <c r="A547" s="32">
        <v>23</v>
      </c>
      <c r="B547" s="1">
        <v>6.1440000000000001</v>
      </c>
      <c r="C547" s="108">
        <f t="shared" si="29"/>
        <v>891.11347200000012</v>
      </c>
      <c r="D547" s="1">
        <v>738.4</v>
      </c>
      <c r="E547" s="1">
        <f t="shared" si="30"/>
        <v>220.75055187637969</v>
      </c>
      <c r="F547" s="1">
        <v>4.5300000000000002E-3</v>
      </c>
      <c r="G547" s="1">
        <v>266.68</v>
      </c>
      <c r="H547" s="1">
        <v>400.63</v>
      </c>
      <c r="I547" s="1">
        <v>1.2224999999999999</v>
      </c>
      <c r="J547" s="1">
        <v>1.6749000000000001</v>
      </c>
      <c r="K547" s="1">
        <v>5.2480000000000002</v>
      </c>
      <c r="L547" s="1">
        <v>6.1849999999999996</v>
      </c>
      <c r="M547" s="1">
        <v>5.4720000000000004</v>
      </c>
      <c r="N547" s="1">
        <v>302</v>
      </c>
      <c r="O547" s="1">
        <v>192.3</v>
      </c>
      <c r="P547" s="1">
        <v>60.9</v>
      </c>
      <c r="Q547" s="1">
        <v>19.23</v>
      </c>
      <c r="R547" s="1">
        <v>82.4</v>
      </c>
      <c r="S547" s="1">
        <v>39.74</v>
      </c>
      <c r="T547" s="1">
        <v>0.8</v>
      </c>
      <c r="U547" s="1">
        <v>23</v>
      </c>
    </row>
    <row r="548" spans="1:21">
      <c r="A548" s="32">
        <v>24</v>
      </c>
      <c r="B548" s="1">
        <v>6.2877000000000001</v>
      </c>
      <c r="C548" s="108">
        <f t="shared" si="29"/>
        <v>911.95543260000011</v>
      </c>
      <c r="D548" s="1">
        <v>725</v>
      </c>
      <c r="E548" s="1">
        <f t="shared" si="30"/>
        <v>230.94688221709009</v>
      </c>
      <c r="F548" s="1">
        <v>4.3299999999999996E-3</v>
      </c>
      <c r="G548" s="1">
        <v>270.61</v>
      </c>
      <c r="H548" s="1">
        <v>397.7</v>
      </c>
      <c r="I548" s="1">
        <v>1.2352000000000001</v>
      </c>
      <c r="J548" s="1">
        <v>1.6629</v>
      </c>
      <c r="K548" s="1">
        <v>5.7670000000000003</v>
      </c>
      <c r="L548" s="1">
        <v>7.0490000000000004</v>
      </c>
      <c r="M548" s="1">
        <v>6.1070000000000002</v>
      </c>
      <c r="N548" s="1">
        <v>288</v>
      </c>
      <c r="O548" s="1">
        <v>190.8</v>
      </c>
      <c r="P548" s="1">
        <v>59</v>
      </c>
      <c r="Q548" s="1">
        <v>19.66</v>
      </c>
      <c r="R548" s="1">
        <v>81.5</v>
      </c>
      <c r="S548" s="1">
        <v>42.35</v>
      </c>
      <c r="T548" s="1">
        <v>0.67</v>
      </c>
      <c r="U548" s="1">
        <v>24</v>
      </c>
    </row>
    <row r="549" spans="1:21">
      <c r="A549" s="32">
        <v>25</v>
      </c>
      <c r="B549" s="1">
        <v>6.4341999999999997</v>
      </c>
      <c r="C549" s="108">
        <f t="shared" si="29"/>
        <v>933.20349959999999</v>
      </c>
      <c r="D549" s="1">
        <v>710.5</v>
      </c>
      <c r="E549" s="1">
        <f t="shared" si="30"/>
        <v>242.71844660194174</v>
      </c>
      <c r="F549" s="1">
        <v>4.1200000000000004E-3</v>
      </c>
      <c r="G549" s="1">
        <v>274.77999999999997</v>
      </c>
      <c r="H549" s="1">
        <v>394.43</v>
      </c>
      <c r="I549" s="1">
        <v>1.2484999999999999</v>
      </c>
      <c r="J549" s="1">
        <v>1.6497999999999999</v>
      </c>
      <c r="K549" s="1">
        <v>6.4669999999999996</v>
      </c>
      <c r="L549" s="1">
        <v>8.2119999999999997</v>
      </c>
      <c r="M549" s="1">
        <v>6.9489999999999998</v>
      </c>
      <c r="N549" s="1">
        <v>274</v>
      </c>
      <c r="O549" s="1">
        <v>189.1</v>
      </c>
      <c r="P549" s="1">
        <v>57</v>
      </c>
      <c r="Q549" s="1">
        <v>20.16</v>
      </c>
      <c r="R549" s="1">
        <v>80.8</v>
      </c>
      <c r="S549" s="1">
        <v>45.51</v>
      </c>
      <c r="T549" s="1">
        <v>0.55000000000000004</v>
      </c>
      <c r="U549" s="1">
        <v>25</v>
      </c>
    </row>
    <row r="550" spans="1:21">
      <c r="A550" s="32">
        <v>26</v>
      </c>
      <c r="B550" s="1">
        <v>6.5837000000000003</v>
      </c>
      <c r="C550" s="108">
        <f t="shared" si="29"/>
        <v>954.88668060000009</v>
      </c>
      <c r="D550" s="1">
        <v>694.5</v>
      </c>
      <c r="E550" s="1">
        <f t="shared" si="30"/>
        <v>255.7544757033248</v>
      </c>
      <c r="F550" s="1">
        <v>3.9100000000000003E-3</v>
      </c>
      <c r="G550" s="1">
        <v>279.26</v>
      </c>
      <c r="H550" s="1">
        <v>390.71</v>
      </c>
      <c r="I550" s="1">
        <v>1.2626999999999999</v>
      </c>
      <c r="J550" s="1">
        <v>1.6353</v>
      </c>
      <c r="K550" s="1">
        <v>7.46</v>
      </c>
      <c r="L550" s="1">
        <v>9.8620000000000001</v>
      </c>
      <c r="M550" s="1">
        <v>8.1210000000000004</v>
      </c>
      <c r="N550" s="1">
        <v>259</v>
      </c>
      <c r="O550" s="1">
        <v>187.2</v>
      </c>
      <c r="P550" s="1">
        <v>55</v>
      </c>
      <c r="Q550" s="1">
        <v>20.73</v>
      </c>
      <c r="R550" s="1">
        <v>80.5</v>
      </c>
      <c r="S550" s="1">
        <v>49.44</v>
      </c>
      <c r="T550" s="1">
        <v>0.44</v>
      </c>
      <c r="U550" s="1">
        <v>26</v>
      </c>
    </row>
    <row r="551" spans="1:21">
      <c r="A551" s="32">
        <v>27</v>
      </c>
      <c r="B551" s="1">
        <v>6.7361000000000004</v>
      </c>
      <c r="C551" s="108">
        <f t="shared" si="29"/>
        <v>976.99047180000014</v>
      </c>
      <c r="D551" s="1">
        <v>676.4</v>
      </c>
      <c r="E551" s="1">
        <f t="shared" si="30"/>
        <v>271.00271002710025</v>
      </c>
      <c r="F551" s="1">
        <v>3.6900000000000001E-3</v>
      </c>
      <c r="G551" s="1">
        <v>284.14</v>
      </c>
      <c r="H551" s="1">
        <v>386.39</v>
      </c>
      <c r="I551" s="1">
        <v>1.2783</v>
      </c>
      <c r="J551" s="1">
        <v>1.6189</v>
      </c>
      <c r="K551" s="1">
        <v>8.9700000000000006</v>
      </c>
      <c r="L551" s="1">
        <v>12.38</v>
      </c>
      <c r="M551" s="1">
        <v>9.8699999999999992</v>
      </c>
      <c r="N551" s="1">
        <v>243</v>
      </c>
      <c r="O551" s="1">
        <v>185</v>
      </c>
      <c r="P551" s="1">
        <v>52.8</v>
      </c>
      <c r="Q551" s="1">
        <v>21.42</v>
      </c>
      <c r="R551" s="1">
        <v>80.7</v>
      </c>
      <c r="S551" s="1">
        <v>54.56</v>
      </c>
      <c r="T551" s="1">
        <v>0.33</v>
      </c>
      <c r="U551" s="1">
        <v>27</v>
      </c>
    </row>
    <row r="552" spans="1:21">
      <c r="A552" s="32">
        <v>28</v>
      </c>
      <c r="B552" s="1">
        <v>6.8917999999999999</v>
      </c>
      <c r="C552" s="108">
        <f t="shared" si="29"/>
        <v>999.57288840000001</v>
      </c>
      <c r="D552" s="1">
        <v>655.29999999999995</v>
      </c>
      <c r="E552" s="1">
        <f t="shared" si="30"/>
        <v>289.01734104046244</v>
      </c>
      <c r="F552" s="1">
        <v>3.46E-3</v>
      </c>
      <c r="G552" s="1">
        <v>289.62</v>
      </c>
      <c r="H552" s="1">
        <v>381.2</v>
      </c>
      <c r="I552" s="1">
        <v>1.2958000000000001</v>
      </c>
      <c r="J552" s="1">
        <v>1.5999000000000001</v>
      </c>
      <c r="K552" s="1">
        <v>11.55</v>
      </c>
      <c r="L552" s="1">
        <v>16.690000000000001</v>
      </c>
      <c r="M552" s="1">
        <v>12.78</v>
      </c>
      <c r="N552" s="1">
        <v>225</v>
      </c>
      <c r="O552" s="1">
        <v>182.1</v>
      </c>
      <c r="P552" s="1">
        <v>50.3</v>
      </c>
      <c r="Q552" s="1">
        <v>22.27</v>
      </c>
      <c r="R552" s="1">
        <v>81.900000000000006</v>
      </c>
      <c r="S552" s="1">
        <v>61.73</v>
      </c>
      <c r="T552" s="1">
        <v>0.23</v>
      </c>
      <c r="U552" s="1">
        <v>28</v>
      </c>
    </row>
    <row r="553" spans="1:21">
      <c r="A553" s="32">
        <v>29</v>
      </c>
      <c r="B553" s="1">
        <v>7.0509000000000004</v>
      </c>
      <c r="C553" s="108">
        <f t="shared" si="29"/>
        <v>1022.6484342000001</v>
      </c>
      <c r="D553" s="1">
        <v>629.4</v>
      </c>
      <c r="E553" s="1">
        <f t="shared" si="30"/>
        <v>312.5</v>
      </c>
      <c r="F553" s="1">
        <v>3.2000000000000002E-3</v>
      </c>
      <c r="G553" s="1">
        <v>296.07</v>
      </c>
      <c r="H553" s="1">
        <v>374.61</v>
      </c>
      <c r="I553" s="1">
        <v>1.3163</v>
      </c>
      <c r="J553" s="1">
        <v>1.5763</v>
      </c>
      <c r="K553" s="1">
        <v>16.95</v>
      </c>
      <c r="L553" s="1">
        <v>25.74</v>
      </c>
      <c r="M553" s="1">
        <v>18.63</v>
      </c>
      <c r="N553" s="1">
        <v>205</v>
      </c>
      <c r="O553" s="1">
        <v>178.2</v>
      </c>
      <c r="P553" s="1">
        <v>47.5</v>
      </c>
      <c r="Q553" s="1">
        <v>23.41</v>
      </c>
      <c r="R553" s="1">
        <v>85.2</v>
      </c>
      <c r="S553" s="1">
        <v>73.19</v>
      </c>
      <c r="T553" s="1">
        <v>0.13</v>
      </c>
      <c r="U553" s="1">
        <v>29</v>
      </c>
    </row>
    <row r="554" spans="1:21">
      <c r="A554" s="32">
        <v>30</v>
      </c>
      <c r="B554" s="1">
        <v>7.2137000000000002</v>
      </c>
      <c r="C554" s="108">
        <f t="shared" si="29"/>
        <v>1046.2606206</v>
      </c>
      <c r="D554" s="1">
        <v>593.29999999999995</v>
      </c>
      <c r="E554" s="1">
        <f t="shared" si="30"/>
        <v>344.82758620689657</v>
      </c>
      <c r="F554" s="1">
        <v>2.8999999999999998E-3</v>
      </c>
      <c r="G554" s="1">
        <v>304.55</v>
      </c>
      <c r="H554" s="1">
        <v>365.13</v>
      </c>
      <c r="I554" s="1">
        <v>1.3434999999999999</v>
      </c>
      <c r="J554" s="1">
        <v>1.5432999999999999</v>
      </c>
      <c r="K554" s="1">
        <v>35.340000000000003</v>
      </c>
      <c r="L554" s="1">
        <v>55.82</v>
      </c>
      <c r="M554" s="1">
        <v>36.659999999999997</v>
      </c>
      <c r="N554" s="1">
        <v>177</v>
      </c>
      <c r="O554" s="1">
        <v>171.3</v>
      </c>
      <c r="P554" s="1">
        <v>43.8</v>
      </c>
      <c r="Q554" s="1">
        <v>25.17</v>
      </c>
      <c r="R554" s="1">
        <v>95.4</v>
      </c>
      <c r="S554" s="1">
        <v>98.02</v>
      </c>
      <c r="T554" s="1">
        <v>0.05</v>
      </c>
      <c r="U554" s="1">
        <v>30</v>
      </c>
    </row>
    <row r="555" spans="1:21">
      <c r="A555" s="32">
        <v>30.98</v>
      </c>
      <c r="B555" s="1">
        <v>7.3773</v>
      </c>
      <c r="C555" s="108">
        <f t="shared" si="29"/>
        <v>1069.9888374</v>
      </c>
      <c r="D555" s="1">
        <v>467.6</v>
      </c>
      <c r="E555" s="1">
        <f t="shared" si="30"/>
        <v>467.28971962616822</v>
      </c>
      <c r="F555" s="1">
        <v>2.14E-3</v>
      </c>
      <c r="G555" s="1">
        <v>332.25</v>
      </c>
      <c r="H555" s="1">
        <v>332.25</v>
      </c>
      <c r="I555" s="1">
        <v>1.4336</v>
      </c>
      <c r="J555" s="1">
        <v>1.4336</v>
      </c>
      <c r="K555" s="1" t="s">
        <v>310</v>
      </c>
      <c r="L555" s="1" t="s">
        <v>310</v>
      </c>
      <c r="M555" s="1" t="s">
        <v>310</v>
      </c>
      <c r="N555" s="1">
        <v>0</v>
      </c>
      <c r="O555" s="1">
        <v>0</v>
      </c>
      <c r="P555" s="1" t="s">
        <v>311</v>
      </c>
      <c r="Q555" s="1" t="s">
        <v>311</v>
      </c>
      <c r="R555" s="1" t="s">
        <v>310</v>
      </c>
      <c r="S555" s="1" t="s">
        <v>310</v>
      </c>
      <c r="T555" s="1">
        <v>0</v>
      </c>
      <c r="U555" s="1">
        <v>30.98</v>
      </c>
    </row>
    <row r="556" spans="1:21">
      <c r="A556" s="1"/>
      <c r="B556" s="1"/>
      <c r="C556" s="108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>
      <c r="A557" s="1"/>
      <c r="B557" s="1"/>
      <c r="C557" s="108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>
      <c r="A558" s="1"/>
      <c r="B558" s="1"/>
      <c r="C558" s="108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>
      <c r="A559" s="109" t="s">
        <v>312</v>
      </c>
      <c r="B559" s="110" t="s">
        <v>313</v>
      </c>
      <c r="C559" s="110" t="s">
        <v>331</v>
      </c>
      <c r="D559" s="110" t="s">
        <v>314</v>
      </c>
      <c r="E559" s="110" t="s">
        <v>315</v>
      </c>
      <c r="F559" s="110" t="s">
        <v>332</v>
      </c>
      <c r="G559" s="110" t="s">
        <v>316</v>
      </c>
      <c r="H559" s="110" t="s">
        <v>317</v>
      </c>
      <c r="I559" s="110" t="s">
        <v>318</v>
      </c>
      <c r="J559" s="110" t="s">
        <v>319</v>
      </c>
      <c r="K559" s="110" t="s">
        <v>320</v>
      </c>
      <c r="L559" s="110" t="s">
        <v>321</v>
      </c>
      <c r="M559" s="111" t="s">
        <v>322</v>
      </c>
      <c r="N559" s="110" t="s">
        <v>323</v>
      </c>
      <c r="O559" s="110" t="s">
        <v>324</v>
      </c>
      <c r="P559" s="110" t="s">
        <v>325</v>
      </c>
      <c r="Q559" s="110" t="s">
        <v>326</v>
      </c>
      <c r="R559" s="110" t="s">
        <v>327</v>
      </c>
      <c r="S559" s="110" t="s">
        <v>328</v>
      </c>
      <c r="T559" s="110" t="s">
        <v>329</v>
      </c>
      <c r="U559" s="112" t="s">
        <v>466</v>
      </c>
    </row>
    <row r="560" spans="1:21">
      <c r="A560" s="32">
        <v>-150</v>
      </c>
      <c r="B560" s="1">
        <v>1.0000000000000001E-5</v>
      </c>
      <c r="C560" s="108">
        <f t="shared" si="29"/>
        <v>1.4503800000000002E-3</v>
      </c>
      <c r="D560" s="1">
        <v>694.6</v>
      </c>
      <c r="E560" s="1">
        <f t="shared" si="30"/>
        <v>2.3167454360114911E-4</v>
      </c>
      <c r="F560" s="1">
        <v>4316.3999999999996</v>
      </c>
      <c r="G560" s="1" t="s">
        <v>606</v>
      </c>
      <c r="H560" s="1">
        <v>402.06</v>
      </c>
      <c r="I560" s="1" t="s">
        <v>607</v>
      </c>
      <c r="J560" s="1">
        <v>3.5796000000000001</v>
      </c>
      <c r="K560" s="1">
        <v>1.962</v>
      </c>
      <c r="L560" s="1">
        <v>1.02</v>
      </c>
      <c r="M560" s="1">
        <v>1.2270000000000001</v>
      </c>
      <c r="N560" s="1">
        <v>1880</v>
      </c>
      <c r="O560" s="1">
        <v>168.8</v>
      </c>
      <c r="P560" s="1">
        <v>1343</v>
      </c>
      <c r="Q560" s="1">
        <v>3.55</v>
      </c>
      <c r="R560" s="1">
        <v>192.9</v>
      </c>
      <c r="S560" s="1">
        <v>3.68</v>
      </c>
      <c r="T560" s="1">
        <v>31.84</v>
      </c>
      <c r="U560" s="1">
        <v>-150</v>
      </c>
    </row>
    <row r="561" spans="1:21">
      <c r="A561" s="32">
        <v>-140</v>
      </c>
      <c r="B561" s="1">
        <v>3.0000000000000001E-5</v>
      </c>
      <c r="C561" s="108">
        <f t="shared" si="29"/>
        <v>4.3511400000000007E-3</v>
      </c>
      <c r="D561" s="1">
        <v>684.5</v>
      </c>
      <c r="E561" s="1">
        <f t="shared" si="30"/>
        <v>1.15675137942602E-3</v>
      </c>
      <c r="F561" s="1">
        <v>864.49</v>
      </c>
      <c r="G561" s="1" t="s">
        <v>608</v>
      </c>
      <c r="H561" s="1">
        <v>412.43</v>
      </c>
      <c r="I561" s="1" t="s">
        <v>609</v>
      </c>
      <c r="J561" s="1">
        <v>3.3426</v>
      </c>
      <c r="K561" s="1">
        <v>1.9770000000000001</v>
      </c>
      <c r="L561" s="1">
        <v>1.054</v>
      </c>
      <c r="M561" s="1">
        <v>1.218</v>
      </c>
      <c r="N561" s="1">
        <v>1813</v>
      </c>
      <c r="O561" s="1">
        <v>174.9</v>
      </c>
      <c r="P561" s="1">
        <v>985.4</v>
      </c>
      <c r="Q561" s="1">
        <v>3.8</v>
      </c>
      <c r="R561" s="1">
        <v>187.7</v>
      </c>
      <c r="S561" s="1">
        <v>4.28</v>
      </c>
      <c r="T561" s="1">
        <v>30.29</v>
      </c>
      <c r="U561" s="1">
        <v>-140</v>
      </c>
    </row>
    <row r="562" spans="1:21">
      <c r="A562" s="32">
        <v>-130</v>
      </c>
      <c r="B562" s="1">
        <v>1.2E-4</v>
      </c>
      <c r="C562" s="108">
        <f t="shared" si="29"/>
        <v>1.7404560000000003E-2</v>
      </c>
      <c r="D562" s="1">
        <v>674.4</v>
      </c>
      <c r="E562" s="1">
        <f t="shared" si="30"/>
        <v>4.4736724377041114E-3</v>
      </c>
      <c r="F562" s="1">
        <v>223.53</v>
      </c>
      <c r="G562" s="1" t="s">
        <v>610</v>
      </c>
      <c r="H562" s="1">
        <v>423.12</v>
      </c>
      <c r="I562" s="1" t="s">
        <v>611</v>
      </c>
      <c r="J562" s="1">
        <v>3.1514000000000002</v>
      </c>
      <c r="K562" s="1">
        <v>1.994</v>
      </c>
      <c r="L562" s="1">
        <v>1.087</v>
      </c>
      <c r="M562" s="1">
        <v>1.21</v>
      </c>
      <c r="N562" s="1">
        <v>1745</v>
      </c>
      <c r="O562" s="1">
        <v>180.7</v>
      </c>
      <c r="P562" s="1">
        <v>761.7</v>
      </c>
      <c r="Q562" s="1">
        <v>4.05</v>
      </c>
      <c r="R562" s="1">
        <v>182.2</v>
      </c>
      <c r="S562" s="1">
        <v>4.9000000000000004</v>
      </c>
      <c r="T562" s="1">
        <v>28.76</v>
      </c>
      <c r="U562" s="1">
        <v>-130</v>
      </c>
    </row>
    <row r="563" spans="1:21">
      <c r="A563" s="32">
        <v>-120</v>
      </c>
      <c r="B563" s="1">
        <v>4.0999999999999999E-4</v>
      </c>
      <c r="C563" s="108">
        <f t="shared" si="29"/>
        <v>5.9465580000000004E-2</v>
      </c>
      <c r="D563" s="1">
        <v>664.3</v>
      </c>
      <c r="E563" s="1">
        <f t="shared" si="30"/>
        <v>1.4127286854559582E-2</v>
      </c>
      <c r="F563" s="1">
        <v>70.784999999999997</v>
      </c>
      <c r="G563" s="1" t="s">
        <v>612</v>
      </c>
      <c r="H563" s="1">
        <v>434.11</v>
      </c>
      <c r="I563" s="1" t="s">
        <v>613</v>
      </c>
      <c r="J563" s="1">
        <v>2.9962</v>
      </c>
      <c r="K563" s="1">
        <v>2.012</v>
      </c>
      <c r="L563" s="1">
        <v>1.119</v>
      </c>
      <c r="M563" s="1">
        <v>1.2030000000000001</v>
      </c>
      <c r="N563" s="1">
        <v>1679</v>
      </c>
      <c r="O563" s="1">
        <v>186.3</v>
      </c>
      <c r="P563" s="1">
        <v>611.6</v>
      </c>
      <c r="Q563" s="1">
        <v>4.3099999999999996</v>
      </c>
      <c r="R563" s="1">
        <v>176.4</v>
      </c>
      <c r="S563" s="1">
        <v>5.55</v>
      </c>
      <c r="T563" s="1">
        <v>27.24</v>
      </c>
      <c r="U563" s="1">
        <v>-120</v>
      </c>
    </row>
    <row r="564" spans="1:21">
      <c r="A564" s="32">
        <v>-110</v>
      </c>
      <c r="B564" s="1">
        <v>1.16E-3</v>
      </c>
      <c r="C564" s="108">
        <f t="shared" si="29"/>
        <v>0.16824408000000002</v>
      </c>
      <c r="D564" s="1">
        <v>654</v>
      </c>
      <c r="E564" s="1">
        <f t="shared" si="30"/>
        <v>3.7898885772758281E-2</v>
      </c>
      <c r="F564" s="1">
        <v>26.385999999999999</v>
      </c>
      <c r="G564" s="1" t="s">
        <v>614</v>
      </c>
      <c r="H564" s="1">
        <v>445.38</v>
      </c>
      <c r="I564" s="1" t="s">
        <v>615</v>
      </c>
      <c r="J564" s="1">
        <v>2.8696999999999999</v>
      </c>
      <c r="K564" s="1">
        <v>2.032</v>
      </c>
      <c r="L564" s="1">
        <v>1.151</v>
      </c>
      <c r="M564" s="1">
        <v>1.1970000000000001</v>
      </c>
      <c r="N564" s="1">
        <v>1612</v>
      </c>
      <c r="O564" s="1">
        <v>191.7</v>
      </c>
      <c r="P564" s="1">
        <v>505</v>
      </c>
      <c r="Q564" s="1">
        <v>4.5599999999999996</v>
      </c>
      <c r="R564" s="1">
        <v>170.4</v>
      </c>
      <c r="S564" s="1">
        <v>6.23</v>
      </c>
      <c r="T564" s="1">
        <v>25.73</v>
      </c>
      <c r="U564" s="1">
        <v>-110</v>
      </c>
    </row>
    <row r="565" spans="1:21">
      <c r="A565" s="32">
        <v>-100</v>
      </c>
      <c r="B565" s="1">
        <v>2.8999999999999998E-3</v>
      </c>
      <c r="C565" s="108">
        <f t="shared" si="29"/>
        <v>0.42061019999999999</v>
      </c>
      <c r="D565" s="1">
        <v>643.70000000000005</v>
      </c>
      <c r="E565" s="1">
        <f t="shared" si="30"/>
        <v>8.9039266316445556E-2</v>
      </c>
      <c r="F565" s="1">
        <v>11.231</v>
      </c>
      <c r="G565" s="1" t="s">
        <v>616</v>
      </c>
      <c r="H565" s="1">
        <v>456.88</v>
      </c>
      <c r="I565" s="1" t="s">
        <v>617</v>
      </c>
      <c r="J565" s="1">
        <v>2.7664</v>
      </c>
      <c r="K565" s="1">
        <v>2.0539999999999998</v>
      </c>
      <c r="L565" s="1">
        <v>1.1839999999999999</v>
      </c>
      <c r="M565" s="1">
        <v>1.1919999999999999</v>
      </c>
      <c r="N565" s="1">
        <v>1545</v>
      </c>
      <c r="O565" s="1">
        <v>196.8</v>
      </c>
      <c r="P565" s="1">
        <v>425.7</v>
      </c>
      <c r="Q565" s="1">
        <v>4.82</v>
      </c>
      <c r="R565" s="1">
        <v>164.4</v>
      </c>
      <c r="S565" s="1">
        <v>6.94</v>
      </c>
      <c r="T565" s="1">
        <v>24.23</v>
      </c>
      <c r="U565" s="1">
        <v>-100</v>
      </c>
    </row>
    <row r="566" spans="1:21">
      <c r="A566" s="32">
        <v>-90</v>
      </c>
      <c r="B566" s="1">
        <v>6.45E-3</v>
      </c>
      <c r="C566" s="108">
        <f t="shared" si="29"/>
        <v>0.93549510000000002</v>
      </c>
      <c r="D566" s="1">
        <v>633.29999999999995</v>
      </c>
      <c r="E566" s="1">
        <f t="shared" si="30"/>
        <v>0.18761726078799248</v>
      </c>
      <c r="F566" s="1">
        <v>5.33</v>
      </c>
      <c r="G566" s="1" t="s">
        <v>618</v>
      </c>
      <c r="H566" s="1">
        <v>468.58</v>
      </c>
      <c r="I566" s="1">
        <v>0.1077</v>
      </c>
      <c r="J566" s="1">
        <v>2.6819999999999999</v>
      </c>
      <c r="K566" s="1">
        <v>2.0779999999999998</v>
      </c>
      <c r="L566" s="1">
        <v>1.22</v>
      </c>
      <c r="M566" s="1">
        <v>1.1879999999999999</v>
      </c>
      <c r="N566" s="1">
        <v>1478</v>
      </c>
      <c r="O566" s="1">
        <v>201.5</v>
      </c>
      <c r="P566" s="1">
        <v>364.5</v>
      </c>
      <c r="Q566" s="1">
        <v>5.08</v>
      </c>
      <c r="R566" s="1">
        <v>158.19999999999999</v>
      </c>
      <c r="S566" s="1">
        <v>7.67</v>
      </c>
      <c r="T566" s="1">
        <v>22.74</v>
      </c>
      <c r="U566" s="1">
        <v>-90</v>
      </c>
    </row>
    <row r="567" spans="1:21">
      <c r="A567" s="32">
        <v>-80</v>
      </c>
      <c r="B567" s="1">
        <v>1.3050000000000001E-2</v>
      </c>
      <c r="C567" s="108">
        <f t="shared" si="29"/>
        <v>1.8927459000000002</v>
      </c>
      <c r="D567" s="1">
        <v>622.79999999999995</v>
      </c>
      <c r="E567" s="1">
        <f t="shared" si="30"/>
        <v>0.36132389073565546</v>
      </c>
      <c r="F567" s="1">
        <v>2.7675999999999998</v>
      </c>
      <c r="G567" s="1">
        <v>18.03</v>
      </c>
      <c r="H567" s="1">
        <v>480.44</v>
      </c>
      <c r="I567" s="1">
        <v>0.21890000000000001</v>
      </c>
      <c r="J567" s="1">
        <v>2.613</v>
      </c>
      <c r="K567" s="1">
        <v>2.1059999999999999</v>
      </c>
      <c r="L567" s="1">
        <v>1.258</v>
      </c>
      <c r="M567" s="1">
        <v>1.1839999999999999</v>
      </c>
      <c r="N567" s="1">
        <v>1411</v>
      </c>
      <c r="O567" s="1">
        <v>205.9</v>
      </c>
      <c r="P567" s="1">
        <v>315.89999999999998</v>
      </c>
      <c r="Q567" s="1">
        <v>5.34</v>
      </c>
      <c r="R567" s="1">
        <v>152.1</v>
      </c>
      <c r="S567" s="1">
        <v>8.43</v>
      </c>
      <c r="T567" s="1">
        <v>21.27</v>
      </c>
      <c r="U567" s="1">
        <v>-80</v>
      </c>
    </row>
    <row r="568" spans="1:21">
      <c r="A568" s="32">
        <v>-70</v>
      </c>
      <c r="B568" s="1">
        <v>2.4400000000000002E-2</v>
      </c>
      <c r="C568" s="108">
        <f t="shared" si="29"/>
        <v>3.5389272000000003</v>
      </c>
      <c r="D568" s="1">
        <v>612</v>
      </c>
      <c r="E568" s="1">
        <f t="shared" si="30"/>
        <v>0.64570284754955776</v>
      </c>
      <c r="F568" s="1">
        <v>1.5487</v>
      </c>
      <c r="G568" s="1">
        <v>39.25</v>
      </c>
      <c r="H568" s="1">
        <v>492.41</v>
      </c>
      <c r="I568" s="1">
        <v>0.32590000000000002</v>
      </c>
      <c r="J568" s="1">
        <v>2.5566</v>
      </c>
      <c r="K568" s="1">
        <v>2.137</v>
      </c>
      <c r="L568" s="1">
        <v>1.3</v>
      </c>
      <c r="M568" s="1">
        <v>1.1819999999999999</v>
      </c>
      <c r="N568" s="1">
        <v>1345</v>
      </c>
      <c r="O568" s="1">
        <v>209.9</v>
      </c>
      <c r="P568" s="1">
        <v>276.39999999999998</v>
      </c>
      <c r="Q568" s="1">
        <v>5.6</v>
      </c>
      <c r="R568" s="1">
        <v>145.9</v>
      </c>
      <c r="S568" s="1">
        <v>9.2200000000000006</v>
      </c>
      <c r="T568" s="1">
        <v>19.809999999999999</v>
      </c>
      <c r="U568" s="1">
        <v>-70</v>
      </c>
    </row>
    <row r="569" spans="1:21">
      <c r="A569" s="32">
        <v>-60</v>
      </c>
      <c r="B569" s="1">
        <v>4.2689999999999999E-2</v>
      </c>
      <c r="C569" s="108">
        <f t="shared" si="29"/>
        <v>6.1916722200000001</v>
      </c>
      <c r="D569" s="1">
        <v>601.1</v>
      </c>
      <c r="E569" s="1">
        <f t="shared" si="30"/>
        <v>1.0840108401084012</v>
      </c>
      <c r="F569" s="1">
        <v>0.92249999999999999</v>
      </c>
      <c r="G569" s="1">
        <v>60.81</v>
      </c>
      <c r="H569" s="1">
        <v>504.44</v>
      </c>
      <c r="I569" s="1">
        <v>0.4294</v>
      </c>
      <c r="J569" s="1">
        <v>2.5106999999999999</v>
      </c>
      <c r="K569" s="1">
        <v>2.1720000000000002</v>
      </c>
      <c r="L569" s="1">
        <v>1.3460000000000001</v>
      </c>
      <c r="M569" s="1">
        <v>1.181</v>
      </c>
      <c r="N569" s="1">
        <v>1278</v>
      </c>
      <c r="O569" s="1">
        <v>213.5</v>
      </c>
      <c r="P569" s="1">
        <v>243.6</v>
      </c>
      <c r="Q569" s="1">
        <v>5.85</v>
      </c>
      <c r="R569" s="1">
        <v>139.80000000000001</v>
      </c>
      <c r="S569" s="1">
        <v>10.039999999999999</v>
      </c>
      <c r="T569" s="1">
        <v>18.37</v>
      </c>
      <c r="U569" s="1">
        <v>-60</v>
      </c>
    </row>
    <row r="570" spans="1:21">
      <c r="A570" s="32">
        <v>-50</v>
      </c>
      <c r="B570" s="1">
        <v>7.0569999999999994E-2</v>
      </c>
      <c r="C570" s="108">
        <f t="shared" si="29"/>
        <v>10.23533166</v>
      </c>
      <c r="D570" s="1">
        <v>589.9</v>
      </c>
      <c r="E570" s="1">
        <f t="shared" si="30"/>
        <v>1.7269665831966152</v>
      </c>
      <c r="F570" s="1">
        <v>0.57904999999999995</v>
      </c>
      <c r="G570" s="1">
        <v>82.75</v>
      </c>
      <c r="H570" s="1">
        <v>516.48</v>
      </c>
      <c r="I570" s="1">
        <v>0.52980000000000005</v>
      </c>
      <c r="J570" s="1">
        <v>2.4733999999999998</v>
      </c>
      <c r="K570" s="1">
        <v>2.2120000000000002</v>
      </c>
      <c r="L570" s="1">
        <v>1.397</v>
      </c>
      <c r="M570" s="1">
        <v>1.1819999999999999</v>
      </c>
      <c r="N570" s="1">
        <v>1213</v>
      </c>
      <c r="O570" s="1">
        <v>216.5</v>
      </c>
      <c r="P570" s="1">
        <v>216</v>
      </c>
      <c r="Q570" s="1">
        <v>6.11</v>
      </c>
      <c r="R570" s="1">
        <v>133.80000000000001</v>
      </c>
      <c r="S570" s="1">
        <v>10.88</v>
      </c>
      <c r="T570" s="1">
        <v>16.940000000000001</v>
      </c>
      <c r="U570" s="1">
        <v>-50</v>
      </c>
    </row>
    <row r="571" spans="1:21">
      <c r="A571" s="32">
        <v>-42.11</v>
      </c>
      <c r="B571" s="1">
        <v>0.10133</v>
      </c>
      <c r="C571" s="108">
        <f t="shared" si="29"/>
        <v>14.696700540000002</v>
      </c>
      <c r="D571" s="1">
        <v>580.9</v>
      </c>
      <c r="E571" s="1">
        <f t="shared" si="30"/>
        <v>2.4161592732192902</v>
      </c>
      <c r="F571" s="1">
        <v>0.41388000000000003</v>
      </c>
      <c r="G571" s="1">
        <v>100.36</v>
      </c>
      <c r="H571" s="1">
        <v>525.95000000000005</v>
      </c>
      <c r="I571" s="1">
        <v>0.60699999999999998</v>
      </c>
      <c r="J571" s="1">
        <v>2.4491000000000001</v>
      </c>
      <c r="K571" s="1">
        <v>2.246</v>
      </c>
      <c r="L571" s="1">
        <v>1.44</v>
      </c>
      <c r="M571" s="1">
        <v>1.1830000000000001</v>
      </c>
      <c r="N571" s="1">
        <v>1161</v>
      </c>
      <c r="O571" s="1">
        <v>218.4</v>
      </c>
      <c r="P571" s="1">
        <v>197.2</v>
      </c>
      <c r="Q571" s="1">
        <v>6.31</v>
      </c>
      <c r="R571" s="1">
        <v>129.19999999999999</v>
      </c>
      <c r="S571" s="1">
        <v>11.57</v>
      </c>
      <c r="T571" s="1">
        <v>15.83</v>
      </c>
      <c r="U571" s="1" t="s">
        <v>619</v>
      </c>
    </row>
    <row r="572" spans="1:21">
      <c r="A572" s="32">
        <v>-40</v>
      </c>
      <c r="B572" s="1">
        <v>0.11112</v>
      </c>
      <c r="C572" s="108">
        <f t="shared" si="29"/>
        <v>16.11662256</v>
      </c>
      <c r="D572" s="1">
        <v>578.4</v>
      </c>
      <c r="E572" s="1">
        <f t="shared" si="30"/>
        <v>2.6326181387389758</v>
      </c>
      <c r="F572" s="1">
        <v>0.37985000000000002</v>
      </c>
      <c r="G572" s="1">
        <v>105.12</v>
      </c>
      <c r="H572" s="1">
        <v>528.48</v>
      </c>
      <c r="I572" s="1">
        <v>0.62749999999999995</v>
      </c>
      <c r="J572" s="1">
        <v>2.4432999999999998</v>
      </c>
      <c r="K572" s="1">
        <v>2.2559999999999998</v>
      </c>
      <c r="L572" s="1">
        <v>1.4530000000000001</v>
      </c>
      <c r="M572" s="1">
        <v>1.1839999999999999</v>
      </c>
      <c r="N572" s="1">
        <v>1147</v>
      </c>
      <c r="O572" s="1">
        <v>218.9</v>
      </c>
      <c r="P572" s="1">
        <v>192.6</v>
      </c>
      <c r="Q572" s="1">
        <v>6.36</v>
      </c>
      <c r="R572" s="1">
        <v>128</v>
      </c>
      <c r="S572" s="1">
        <v>11.76</v>
      </c>
      <c r="T572" s="1">
        <v>15.54</v>
      </c>
      <c r="U572" s="1">
        <v>-40</v>
      </c>
    </row>
    <row r="573" spans="1:21">
      <c r="A573" s="32">
        <v>-38</v>
      </c>
      <c r="B573" s="1">
        <v>0.12105</v>
      </c>
      <c r="C573" s="108">
        <f t="shared" si="29"/>
        <v>17.556849900000003</v>
      </c>
      <c r="D573" s="1">
        <v>576.1</v>
      </c>
      <c r="E573" s="1">
        <f t="shared" si="30"/>
        <v>2.8509522180408253</v>
      </c>
      <c r="F573" s="1">
        <v>0.35076000000000002</v>
      </c>
      <c r="G573" s="1">
        <v>109.65</v>
      </c>
      <c r="H573" s="1">
        <v>530.87</v>
      </c>
      <c r="I573" s="1">
        <v>0.64680000000000004</v>
      </c>
      <c r="J573" s="1">
        <v>2.4380000000000002</v>
      </c>
      <c r="K573" s="1">
        <v>2.2650000000000001</v>
      </c>
      <c r="L573" s="1">
        <v>1.464</v>
      </c>
      <c r="M573" s="1">
        <v>1.1850000000000001</v>
      </c>
      <c r="N573" s="1">
        <v>1134</v>
      </c>
      <c r="O573" s="1">
        <v>219.3</v>
      </c>
      <c r="P573" s="1">
        <v>188.3</v>
      </c>
      <c r="Q573" s="1">
        <v>6.41</v>
      </c>
      <c r="R573" s="1">
        <v>126.8</v>
      </c>
      <c r="S573" s="1">
        <v>11.94</v>
      </c>
      <c r="T573" s="1">
        <v>15.26</v>
      </c>
      <c r="U573" s="1">
        <v>-38</v>
      </c>
    </row>
    <row r="574" spans="1:21">
      <c r="A574" s="32">
        <v>-36</v>
      </c>
      <c r="B574" s="1">
        <v>0.13166</v>
      </c>
      <c r="C574" s="108">
        <f t="shared" si="29"/>
        <v>19.09570308</v>
      </c>
      <c r="D574" s="1">
        <v>573.79999999999995</v>
      </c>
      <c r="E574" s="1">
        <f t="shared" si="30"/>
        <v>3.0828991583685297</v>
      </c>
      <c r="F574" s="1">
        <v>0.32436999999999999</v>
      </c>
      <c r="G574" s="1">
        <v>114.2</v>
      </c>
      <c r="H574" s="1">
        <v>533.26</v>
      </c>
      <c r="I574" s="1">
        <v>0.66600000000000004</v>
      </c>
      <c r="J574" s="1">
        <v>2.4329999999999998</v>
      </c>
      <c r="K574" s="1">
        <v>2.2749999999999999</v>
      </c>
      <c r="L574" s="1">
        <v>1.476</v>
      </c>
      <c r="M574" s="1">
        <v>1.1850000000000001</v>
      </c>
      <c r="N574" s="1">
        <v>1121</v>
      </c>
      <c r="O574" s="1">
        <v>219.6</v>
      </c>
      <c r="P574" s="1">
        <v>184.1</v>
      </c>
      <c r="Q574" s="1">
        <v>6.47</v>
      </c>
      <c r="R574" s="1">
        <v>125.6</v>
      </c>
      <c r="S574" s="1">
        <v>12.12</v>
      </c>
      <c r="T574" s="1">
        <v>14.98</v>
      </c>
      <c r="U574" s="1">
        <v>-36</v>
      </c>
    </row>
    <row r="575" spans="1:21">
      <c r="A575" s="32">
        <v>-34</v>
      </c>
      <c r="B575" s="1">
        <v>0.14297000000000001</v>
      </c>
      <c r="C575" s="108">
        <f t="shared" si="29"/>
        <v>20.736082860000003</v>
      </c>
      <c r="D575" s="1">
        <v>571.4</v>
      </c>
      <c r="E575" s="1">
        <f t="shared" si="30"/>
        <v>3.3292272863468386</v>
      </c>
      <c r="F575" s="1">
        <v>0.30037000000000003</v>
      </c>
      <c r="G575" s="1">
        <v>118.77</v>
      </c>
      <c r="H575" s="1">
        <v>535.64</v>
      </c>
      <c r="I575" s="1">
        <v>0.68510000000000004</v>
      </c>
      <c r="J575" s="1">
        <v>2.4281999999999999</v>
      </c>
      <c r="K575" s="1">
        <v>2.2850000000000001</v>
      </c>
      <c r="L575" s="1">
        <v>1.488</v>
      </c>
      <c r="M575" s="1">
        <v>1.1859999999999999</v>
      </c>
      <c r="N575" s="1">
        <v>1108</v>
      </c>
      <c r="O575" s="1">
        <v>220</v>
      </c>
      <c r="P575" s="1">
        <v>180.1</v>
      </c>
      <c r="Q575" s="1">
        <v>6.52</v>
      </c>
      <c r="R575" s="1">
        <v>124.5</v>
      </c>
      <c r="S575" s="1">
        <v>12.3</v>
      </c>
      <c r="T575" s="1">
        <v>14.7</v>
      </c>
      <c r="U575" s="1">
        <v>-34</v>
      </c>
    </row>
    <row r="576" spans="1:21">
      <c r="A576" s="32">
        <v>-32</v>
      </c>
      <c r="B576" s="1">
        <v>0.15501999999999999</v>
      </c>
      <c r="C576" s="108">
        <f t="shared" si="29"/>
        <v>22.483790760000002</v>
      </c>
      <c r="D576" s="1">
        <v>569</v>
      </c>
      <c r="E576" s="1">
        <f t="shared" si="30"/>
        <v>3.5902775284529493</v>
      </c>
      <c r="F576" s="1">
        <v>0.27853</v>
      </c>
      <c r="G576" s="1">
        <v>123.36</v>
      </c>
      <c r="H576" s="1">
        <v>538.01</v>
      </c>
      <c r="I576" s="1">
        <v>0.70409999999999995</v>
      </c>
      <c r="J576" s="1">
        <v>2.4236</v>
      </c>
      <c r="K576" s="1">
        <v>2.2949999999999999</v>
      </c>
      <c r="L576" s="1">
        <v>1.5009999999999999</v>
      </c>
      <c r="M576" s="1">
        <v>1.1870000000000001</v>
      </c>
      <c r="N576" s="1">
        <v>1095</v>
      </c>
      <c r="O576" s="1">
        <v>220.3</v>
      </c>
      <c r="P576" s="1">
        <v>176.1</v>
      </c>
      <c r="Q576" s="1">
        <v>6.57</v>
      </c>
      <c r="R576" s="1">
        <v>123.3</v>
      </c>
      <c r="S576" s="1">
        <v>12.48</v>
      </c>
      <c r="T576" s="1">
        <v>14.42</v>
      </c>
      <c r="U576" s="1">
        <v>-32</v>
      </c>
    </row>
    <row r="577" spans="1:21">
      <c r="A577" s="32">
        <v>-30</v>
      </c>
      <c r="B577" s="1">
        <v>0.16783000000000001</v>
      </c>
      <c r="C577" s="108">
        <f t="shared" si="29"/>
        <v>24.341727540000004</v>
      </c>
      <c r="D577" s="1">
        <v>566.6</v>
      </c>
      <c r="E577" s="1">
        <f t="shared" si="30"/>
        <v>3.8668264954951472</v>
      </c>
      <c r="F577" s="1">
        <v>0.25861000000000001</v>
      </c>
      <c r="G577" s="1">
        <v>127.97</v>
      </c>
      <c r="H577" s="1">
        <v>540.38</v>
      </c>
      <c r="I577" s="1">
        <v>0.72309999999999997</v>
      </c>
      <c r="J577" s="1">
        <v>2.4192</v>
      </c>
      <c r="K577" s="1">
        <v>2.3050000000000002</v>
      </c>
      <c r="L577" s="1">
        <v>1.5129999999999999</v>
      </c>
      <c r="M577" s="1">
        <v>1.1879999999999999</v>
      </c>
      <c r="N577" s="1">
        <v>1082</v>
      </c>
      <c r="O577" s="1">
        <v>220.6</v>
      </c>
      <c r="P577" s="1">
        <v>172.3</v>
      </c>
      <c r="Q577" s="1">
        <v>6.62</v>
      </c>
      <c r="R577" s="1">
        <v>122.2</v>
      </c>
      <c r="S577" s="1">
        <v>12.67</v>
      </c>
      <c r="T577" s="1">
        <v>14.15</v>
      </c>
      <c r="U577" s="1">
        <v>-30</v>
      </c>
    </row>
    <row r="578" spans="1:21">
      <c r="A578" s="32">
        <v>-28</v>
      </c>
      <c r="B578" s="1">
        <v>0.18143999999999999</v>
      </c>
      <c r="C578" s="108">
        <f t="shared" si="29"/>
        <v>26.31569472</v>
      </c>
      <c r="D578" s="1">
        <v>564.20000000000005</v>
      </c>
      <c r="E578" s="1">
        <f t="shared" si="30"/>
        <v>4.1595607503847596</v>
      </c>
      <c r="F578" s="1">
        <v>0.24041000000000001</v>
      </c>
      <c r="G578" s="1">
        <v>132.61000000000001</v>
      </c>
      <c r="H578" s="1">
        <v>542.75</v>
      </c>
      <c r="I578" s="1">
        <v>0.7419</v>
      </c>
      <c r="J578" s="1">
        <v>2.415</v>
      </c>
      <c r="K578" s="1">
        <v>2.3159999999999998</v>
      </c>
      <c r="L578" s="1">
        <v>1.526</v>
      </c>
      <c r="M578" s="1">
        <v>1.1890000000000001</v>
      </c>
      <c r="N578" s="1">
        <v>1069</v>
      </c>
      <c r="O578" s="1">
        <v>220.9</v>
      </c>
      <c r="P578" s="1">
        <v>168.6</v>
      </c>
      <c r="Q578" s="1">
        <v>6.67</v>
      </c>
      <c r="R578" s="1">
        <v>121.1</v>
      </c>
      <c r="S578" s="1">
        <v>12.86</v>
      </c>
      <c r="T578" s="1">
        <v>13.87</v>
      </c>
      <c r="U578" s="1">
        <v>-28</v>
      </c>
    </row>
    <row r="579" spans="1:21">
      <c r="A579" s="32">
        <v>-26</v>
      </c>
      <c r="B579" s="1">
        <v>0.19589000000000001</v>
      </c>
      <c r="C579" s="108">
        <f t="shared" si="29"/>
        <v>28.411493820000004</v>
      </c>
      <c r="D579" s="1">
        <v>561.79999999999995</v>
      </c>
      <c r="E579" s="1">
        <f t="shared" si="30"/>
        <v>4.4690740078655704</v>
      </c>
      <c r="F579" s="1">
        <v>0.22375999999999999</v>
      </c>
      <c r="G579" s="1">
        <v>137.26</v>
      </c>
      <c r="H579" s="1">
        <v>545.11</v>
      </c>
      <c r="I579" s="1">
        <v>0.76070000000000004</v>
      </c>
      <c r="J579" s="1">
        <v>2.4108999999999998</v>
      </c>
      <c r="K579" s="1">
        <v>2.327</v>
      </c>
      <c r="L579" s="1">
        <v>1.5389999999999999</v>
      </c>
      <c r="M579" s="1">
        <v>1.1910000000000001</v>
      </c>
      <c r="N579" s="1">
        <v>1056</v>
      </c>
      <c r="O579" s="1">
        <v>221.1</v>
      </c>
      <c r="P579" s="1">
        <v>165</v>
      </c>
      <c r="Q579" s="1">
        <v>6.73</v>
      </c>
      <c r="R579" s="1">
        <v>120</v>
      </c>
      <c r="S579" s="1">
        <v>13.05</v>
      </c>
      <c r="T579" s="1">
        <v>13.6</v>
      </c>
      <c r="U579" s="1">
        <v>-26</v>
      </c>
    </row>
    <row r="580" spans="1:21">
      <c r="A580" s="32">
        <v>-24</v>
      </c>
      <c r="B580" s="1">
        <v>0.21118999999999999</v>
      </c>
      <c r="C580" s="108">
        <f t="shared" si="29"/>
        <v>30.630575220000001</v>
      </c>
      <c r="D580" s="1">
        <v>559.4</v>
      </c>
      <c r="E580" s="1">
        <f t="shared" si="30"/>
        <v>4.7959330487746392</v>
      </c>
      <c r="F580" s="1">
        <v>0.20851</v>
      </c>
      <c r="G580" s="1">
        <v>141.94</v>
      </c>
      <c r="H580" s="1">
        <v>547.46</v>
      </c>
      <c r="I580" s="1">
        <v>0.77949999999999997</v>
      </c>
      <c r="J580" s="1">
        <v>2.4070999999999998</v>
      </c>
      <c r="K580" s="1">
        <v>2.3380000000000001</v>
      </c>
      <c r="L580" s="1">
        <v>1.5529999999999999</v>
      </c>
      <c r="M580" s="1">
        <v>1.1919999999999999</v>
      </c>
      <c r="N580" s="1">
        <v>1043</v>
      </c>
      <c r="O580" s="1">
        <v>221.3</v>
      </c>
      <c r="P580" s="1">
        <v>161.5</v>
      </c>
      <c r="Q580" s="1">
        <v>6.78</v>
      </c>
      <c r="R580" s="1">
        <v>118.8</v>
      </c>
      <c r="S580" s="1">
        <v>13.24</v>
      </c>
      <c r="T580" s="1">
        <v>13.33</v>
      </c>
      <c r="U580" s="1">
        <v>-24</v>
      </c>
    </row>
    <row r="581" spans="1:21">
      <c r="A581" s="32">
        <v>-22</v>
      </c>
      <c r="B581" s="1">
        <v>0.22739000000000001</v>
      </c>
      <c r="C581" s="108">
        <f t="shared" si="29"/>
        <v>32.980190820000004</v>
      </c>
      <c r="D581" s="1">
        <v>556.9</v>
      </c>
      <c r="E581" s="1">
        <f t="shared" si="30"/>
        <v>5.140859551717047</v>
      </c>
      <c r="F581" s="1">
        <v>0.19452</v>
      </c>
      <c r="G581" s="1">
        <v>146.63999999999999</v>
      </c>
      <c r="H581" s="1">
        <v>549.79999999999995</v>
      </c>
      <c r="I581" s="1">
        <v>0.79820000000000002</v>
      </c>
      <c r="J581" s="1">
        <v>2.4034</v>
      </c>
      <c r="K581" s="1">
        <v>2.3490000000000002</v>
      </c>
      <c r="L581" s="1">
        <v>1.5660000000000001</v>
      </c>
      <c r="M581" s="1">
        <v>1.1930000000000001</v>
      </c>
      <c r="N581" s="1">
        <v>1030</v>
      </c>
      <c r="O581" s="1">
        <v>221.5</v>
      </c>
      <c r="P581" s="1">
        <v>158.1</v>
      </c>
      <c r="Q581" s="1">
        <v>6.83</v>
      </c>
      <c r="R581" s="1">
        <v>117.7</v>
      </c>
      <c r="S581" s="1">
        <v>13.43</v>
      </c>
      <c r="T581" s="1">
        <v>13.06</v>
      </c>
      <c r="U581" s="1">
        <v>-22</v>
      </c>
    </row>
    <row r="582" spans="1:21">
      <c r="A582" s="32">
        <v>-20</v>
      </c>
      <c r="B582" s="1">
        <v>0.24451999999999999</v>
      </c>
      <c r="C582" s="108">
        <f t="shared" si="29"/>
        <v>35.464691760000001</v>
      </c>
      <c r="D582" s="1">
        <v>554.5</v>
      </c>
      <c r="E582" s="1">
        <f t="shared" si="30"/>
        <v>5.5044861562173173</v>
      </c>
      <c r="F582" s="1">
        <v>0.18167</v>
      </c>
      <c r="G582" s="1">
        <v>151.36000000000001</v>
      </c>
      <c r="H582" s="1">
        <v>552.13</v>
      </c>
      <c r="I582" s="1">
        <v>0.81679999999999997</v>
      </c>
      <c r="J582" s="1">
        <v>2.3999000000000001</v>
      </c>
      <c r="K582" s="1">
        <v>2.3610000000000002</v>
      </c>
      <c r="L582" s="1">
        <v>1.58</v>
      </c>
      <c r="M582" s="1">
        <v>1.1950000000000001</v>
      </c>
      <c r="N582" s="1">
        <v>1016</v>
      </c>
      <c r="O582" s="1">
        <v>221.6</v>
      </c>
      <c r="P582" s="1">
        <v>154.69999999999999</v>
      </c>
      <c r="Q582" s="1">
        <v>6.89</v>
      </c>
      <c r="R582" s="1">
        <v>116.6</v>
      </c>
      <c r="S582" s="1">
        <v>13.63</v>
      </c>
      <c r="T582" s="1">
        <v>12.79</v>
      </c>
      <c r="U582" s="1">
        <v>-20</v>
      </c>
    </row>
    <row r="583" spans="1:21">
      <c r="A583" s="32">
        <v>-18</v>
      </c>
      <c r="B583" s="1">
        <v>0.26261000000000001</v>
      </c>
      <c r="C583" s="108">
        <f t="shared" si="29"/>
        <v>38.088429180000006</v>
      </c>
      <c r="D583" s="1">
        <v>552</v>
      </c>
      <c r="E583" s="1">
        <f t="shared" si="30"/>
        <v>5.8878944889307583</v>
      </c>
      <c r="F583" s="1">
        <v>0.16983999999999999</v>
      </c>
      <c r="G583" s="1">
        <v>156.11000000000001</v>
      </c>
      <c r="H583" s="1">
        <v>554.46</v>
      </c>
      <c r="I583" s="1">
        <v>0.83530000000000004</v>
      </c>
      <c r="J583" s="1">
        <v>2.3965000000000001</v>
      </c>
      <c r="K583" s="1">
        <v>2.3730000000000002</v>
      </c>
      <c r="L583" s="1">
        <v>1.595</v>
      </c>
      <c r="M583" s="1">
        <v>1.1970000000000001</v>
      </c>
      <c r="N583" s="1">
        <v>1003</v>
      </c>
      <c r="O583" s="1">
        <v>221.8</v>
      </c>
      <c r="P583" s="1">
        <v>151.5</v>
      </c>
      <c r="Q583" s="1">
        <v>6.94</v>
      </c>
      <c r="R583" s="1">
        <v>115.5</v>
      </c>
      <c r="S583" s="1">
        <v>13.83</v>
      </c>
      <c r="T583" s="1">
        <v>12.52</v>
      </c>
      <c r="U583" s="1">
        <v>-18</v>
      </c>
    </row>
    <row r="584" spans="1:21">
      <c r="A584" s="32">
        <v>-16</v>
      </c>
      <c r="B584" s="1">
        <v>0.28170000000000001</v>
      </c>
      <c r="C584" s="108">
        <f t="shared" si="29"/>
        <v>40.857204600000003</v>
      </c>
      <c r="D584" s="1">
        <v>549.5</v>
      </c>
      <c r="E584" s="1">
        <f t="shared" si="30"/>
        <v>6.2916823958726562</v>
      </c>
      <c r="F584" s="1">
        <v>0.15894</v>
      </c>
      <c r="G584" s="1">
        <v>160.88</v>
      </c>
      <c r="H584" s="1">
        <v>556.77</v>
      </c>
      <c r="I584" s="1">
        <v>0.8538</v>
      </c>
      <c r="J584" s="1">
        <v>2.3933</v>
      </c>
      <c r="K584" s="1">
        <v>2.3849999999999998</v>
      </c>
      <c r="L584" s="1">
        <v>1.609</v>
      </c>
      <c r="M584" s="1">
        <v>1.198</v>
      </c>
      <c r="N584" s="1">
        <v>990</v>
      </c>
      <c r="O584" s="1">
        <v>221.8</v>
      </c>
      <c r="P584" s="1">
        <v>148.30000000000001</v>
      </c>
      <c r="Q584" s="1">
        <v>6.99</v>
      </c>
      <c r="R584" s="1">
        <v>114.4</v>
      </c>
      <c r="S584" s="1">
        <v>14.03</v>
      </c>
      <c r="T584" s="1">
        <v>12.25</v>
      </c>
      <c r="U584" s="1">
        <v>-16</v>
      </c>
    </row>
    <row r="585" spans="1:21">
      <c r="A585" s="32">
        <v>-14</v>
      </c>
      <c r="B585" s="1">
        <v>0.30181000000000002</v>
      </c>
      <c r="C585" s="108">
        <f t="shared" si="29"/>
        <v>43.77391878000001</v>
      </c>
      <c r="D585" s="1">
        <v>546.9</v>
      </c>
      <c r="E585" s="1">
        <f t="shared" si="30"/>
        <v>6.7163677883000874</v>
      </c>
      <c r="F585" s="1">
        <v>0.14888999999999999</v>
      </c>
      <c r="G585" s="1">
        <v>165.68</v>
      </c>
      <c r="H585" s="1">
        <v>559.08000000000004</v>
      </c>
      <c r="I585" s="1">
        <v>0.87219999999999998</v>
      </c>
      <c r="J585" s="1">
        <v>2.3902999999999999</v>
      </c>
      <c r="K585" s="1">
        <v>2.3969999999999998</v>
      </c>
      <c r="L585" s="1">
        <v>1.6240000000000001</v>
      </c>
      <c r="M585" s="1">
        <v>1.2</v>
      </c>
      <c r="N585" s="1">
        <v>977</v>
      </c>
      <c r="O585" s="1">
        <v>221.9</v>
      </c>
      <c r="P585" s="1">
        <v>145.19999999999999</v>
      </c>
      <c r="Q585" s="1">
        <v>7.05</v>
      </c>
      <c r="R585" s="1">
        <v>113.4</v>
      </c>
      <c r="S585" s="1">
        <v>14.23</v>
      </c>
      <c r="T585" s="1">
        <v>11.98</v>
      </c>
      <c r="U585" s="1">
        <v>-14</v>
      </c>
    </row>
    <row r="586" spans="1:21">
      <c r="A586" s="32">
        <v>-12</v>
      </c>
      <c r="B586" s="1">
        <v>0.32300000000000001</v>
      </c>
      <c r="C586" s="108">
        <f t="shared" si="29"/>
        <v>46.847274000000006</v>
      </c>
      <c r="D586" s="1">
        <v>544.4</v>
      </c>
      <c r="E586" s="1">
        <f t="shared" si="30"/>
        <v>7.1628106869135442</v>
      </c>
      <c r="F586" s="1">
        <v>0.13961000000000001</v>
      </c>
      <c r="G586" s="1">
        <v>170.5</v>
      </c>
      <c r="H586" s="1">
        <v>561.37</v>
      </c>
      <c r="I586" s="1">
        <v>0.89059999999999995</v>
      </c>
      <c r="J586" s="1">
        <v>2.3874</v>
      </c>
      <c r="K586" s="1">
        <v>2.41</v>
      </c>
      <c r="L586" s="1">
        <v>1.639</v>
      </c>
      <c r="M586" s="1">
        <v>1.202</v>
      </c>
      <c r="N586" s="1">
        <v>964</v>
      </c>
      <c r="O586" s="1">
        <v>221.9</v>
      </c>
      <c r="P586" s="1">
        <v>142.19999999999999</v>
      </c>
      <c r="Q586" s="1">
        <v>7.1</v>
      </c>
      <c r="R586" s="1">
        <v>112.3</v>
      </c>
      <c r="S586" s="1">
        <v>14.44</v>
      </c>
      <c r="T586" s="1">
        <v>11.71</v>
      </c>
      <c r="U586" s="1">
        <v>-12</v>
      </c>
    </row>
    <row r="587" spans="1:21">
      <c r="A587" s="32">
        <v>-10</v>
      </c>
      <c r="B587" s="1">
        <v>0.34527999999999998</v>
      </c>
      <c r="C587" s="108">
        <f t="shared" ref="C587:C627" si="31">B587*145.038</f>
        <v>50.07872064</v>
      </c>
      <c r="D587" s="1">
        <v>541.79999999999995</v>
      </c>
      <c r="E587" s="1">
        <f t="shared" ref="E587:E627" si="32">1/F587</f>
        <v>7.6318400366328314</v>
      </c>
      <c r="F587" s="1">
        <v>0.13103000000000001</v>
      </c>
      <c r="G587" s="1">
        <v>175.35</v>
      </c>
      <c r="H587" s="1">
        <v>563.65</v>
      </c>
      <c r="I587" s="1">
        <v>0.90900000000000003</v>
      </c>
      <c r="J587" s="1">
        <v>2.3845999999999998</v>
      </c>
      <c r="K587" s="1">
        <v>2.423</v>
      </c>
      <c r="L587" s="1">
        <v>1.655</v>
      </c>
      <c r="M587" s="1">
        <v>1.2050000000000001</v>
      </c>
      <c r="N587" s="1">
        <v>951</v>
      </c>
      <c r="O587" s="1">
        <v>221.9</v>
      </c>
      <c r="P587" s="1">
        <v>139.30000000000001</v>
      </c>
      <c r="Q587" s="1">
        <v>7.16</v>
      </c>
      <c r="R587" s="1">
        <v>111.2</v>
      </c>
      <c r="S587" s="1">
        <v>14.65</v>
      </c>
      <c r="T587" s="1">
        <v>11.45</v>
      </c>
      <c r="U587" s="1">
        <v>-10</v>
      </c>
    </row>
    <row r="588" spans="1:21">
      <c r="A588" s="32">
        <v>-8</v>
      </c>
      <c r="B588" s="1">
        <v>0.36870000000000003</v>
      </c>
      <c r="C588" s="108">
        <f t="shared" si="31"/>
        <v>53.475510600000007</v>
      </c>
      <c r="D588" s="1">
        <v>539.20000000000005</v>
      </c>
      <c r="E588" s="1">
        <f t="shared" si="32"/>
        <v>8.1247968800779979</v>
      </c>
      <c r="F588" s="1">
        <v>0.12307999999999999</v>
      </c>
      <c r="G588" s="1">
        <v>180.22</v>
      </c>
      <c r="H588" s="1">
        <v>565.91999999999996</v>
      </c>
      <c r="I588" s="1">
        <v>0.92730000000000001</v>
      </c>
      <c r="J588" s="1">
        <v>2.3818999999999999</v>
      </c>
      <c r="K588" s="1">
        <v>2.4359999999999999</v>
      </c>
      <c r="L588" s="1">
        <v>1.671</v>
      </c>
      <c r="M588" s="1">
        <v>1.2070000000000001</v>
      </c>
      <c r="N588" s="1">
        <v>938</v>
      </c>
      <c r="O588" s="1">
        <v>221.8</v>
      </c>
      <c r="P588" s="1">
        <v>136.4</v>
      </c>
      <c r="Q588" s="1">
        <v>7.22</v>
      </c>
      <c r="R588" s="1">
        <v>110.1</v>
      </c>
      <c r="S588" s="1">
        <v>14.86</v>
      </c>
      <c r="T588" s="1">
        <v>11.18</v>
      </c>
      <c r="U588" s="1">
        <v>-8</v>
      </c>
    </row>
    <row r="589" spans="1:21">
      <c r="A589" s="32">
        <v>-6</v>
      </c>
      <c r="B589" s="1">
        <v>0.39328999999999997</v>
      </c>
      <c r="C589" s="108">
        <f t="shared" si="31"/>
        <v>57.041995020000002</v>
      </c>
      <c r="D589" s="1">
        <v>536.6</v>
      </c>
      <c r="E589" s="1">
        <f t="shared" si="32"/>
        <v>8.6422953936565552</v>
      </c>
      <c r="F589" s="1">
        <v>0.11570999999999999</v>
      </c>
      <c r="G589" s="1">
        <v>185.12</v>
      </c>
      <c r="H589" s="1">
        <v>568.17999999999995</v>
      </c>
      <c r="I589" s="1">
        <v>0.94550000000000001</v>
      </c>
      <c r="J589" s="1">
        <v>2.3794</v>
      </c>
      <c r="K589" s="1">
        <v>2.4500000000000002</v>
      </c>
      <c r="L589" s="1">
        <v>1.6870000000000001</v>
      </c>
      <c r="M589" s="1">
        <v>1.2090000000000001</v>
      </c>
      <c r="N589" s="1">
        <v>925</v>
      </c>
      <c r="O589" s="1">
        <v>221.8</v>
      </c>
      <c r="P589" s="1">
        <v>133.6</v>
      </c>
      <c r="Q589" s="1">
        <v>7.27</v>
      </c>
      <c r="R589" s="1">
        <v>109.1</v>
      </c>
      <c r="S589" s="1">
        <v>15.08</v>
      </c>
      <c r="T589" s="1">
        <v>10.92</v>
      </c>
      <c r="U589" s="1">
        <v>-6</v>
      </c>
    </row>
    <row r="590" spans="1:21">
      <c r="A590" s="32">
        <v>-4</v>
      </c>
      <c r="B590" s="1">
        <v>0.41909000000000002</v>
      </c>
      <c r="C590" s="108">
        <f t="shared" si="31"/>
        <v>60.783975420000004</v>
      </c>
      <c r="D590" s="1">
        <v>533.9</v>
      </c>
      <c r="E590" s="1">
        <f t="shared" si="32"/>
        <v>9.1852668320014708</v>
      </c>
      <c r="F590" s="1">
        <v>0.10886999999999999</v>
      </c>
      <c r="G590" s="1">
        <v>190.05</v>
      </c>
      <c r="H590" s="1">
        <v>570.41999999999996</v>
      </c>
      <c r="I590" s="1">
        <v>0.9637</v>
      </c>
      <c r="J590" s="1">
        <v>2.3769</v>
      </c>
      <c r="K590" s="1">
        <v>2.464</v>
      </c>
      <c r="L590" s="1">
        <v>1.704</v>
      </c>
      <c r="M590" s="1">
        <v>1.212</v>
      </c>
      <c r="N590" s="1">
        <v>912</v>
      </c>
      <c r="O590" s="1">
        <v>221.6</v>
      </c>
      <c r="P590" s="1">
        <v>130.9</v>
      </c>
      <c r="Q590" s="1">
        <v>7.33</v>
      </c>
      <c r="R590" s="1">
        <v>108</v>
      </c>
      <c r="S590" s="1">
        <v>15.29</v>
      </c>
      <c r="T590" s="1">
        <v>10.65</v>
      </c>
      <c r="U590" s="1">
        <v>-4</v>
      </c>
    </row>
    <row r="591" spans="1:21">
      <c r="A591" s="32">
        <v>-2</v>
      </c>
      <c r="B591" s="1">
        <v>0.44613000000000003</v>
      </c>
      <c r="C591" s="108">
        <f t="shared" si="31"/>
        <v>64.705802940000012</v>
      </c>
      <c r="D591" s="1">
        <v>531.29999999999995</v>
      </c>
      <c r="E591" s="1">
        <f t="shared" si="32"/>
        <v>9.754194303550527</v>
      </c>
      <c r="F591" s="1">
        <v>0.10252</v>
      </c>
      <c r="G591" s="1">
        <v>195.01</v>
      </c>
      <c r="H591" s="1">
        <v>572.65</v>
      </c>
      <c r="I591" s="1">
        <v>0.9819</v>
      </c>
      <c r="J591" s="1">
        <v>2.3746</v>
      </c>
      <c r="K591" s="1">
        <v>2.4780000000000002</v>
      </c>
      <c r="L591" s="1">
        <v>1.7210000000000001</v>
      </c>
      <c r="M591" s="1">
        <v>1.2150000000000001</v>
      </c>
      <c r="N591" s="1">
        <v>899</v>
      </c>
      <c r="O591" s="1">
        <v>221.5</v>
      </c>
      <c r="P591" s="1">
        <v>128.19999999999999</v>
      </c>
      <c r="Q591" s="1">
        <v>7.39</v>
      </c>
      <c r="R591" s="1">
        <v>107</v>
      </c>
      <c r="S591" s="1">
        <v>15.52</v>
      </c>
      <c r="T591" s="1">
        <v>10.39</v>
      </c>
      <c r="U591" s="1">
        <v>-2</v>
      </c>
    </row>
    <row r="592" spans="1:21">
      <c r="A592" s="32">
        <v>0</v>
      </c>
      <c r="B592" s="1">
        <v>0.47445999999999999</v>
      </c>
      <c r="C592" s="108">
        <f t="shared" si="31"/>
        <v>68.814729480000011</v>
      </c>
      <c r="D592" s="1">
        <v>528.6</v>
      </c>
      <c r="E592" s="1">
        <f t="shared" si="32"/>
        <v>10.350895352447987</v>
      </c>
      <c r="F592" s="1">
        <v>9.6610000000000001E-2</v>
      </c>
      <c r="G592" s="1">
        <v>200</v>
      </c>
      <c r="H592" s="1">
        <v>574.87</v>
      </c>
      <c r="I592" s="1">
        <v>1</v>
      </c>
      <c r="J592" s="1">
        <v>2.3723999999999998</v>
      </c>
      <c r="K592" s="1">
        <v>2.4929999999999999</v>
      </c>
      <c r="L592" s="1">
        <v>1.7390000000000001</v>
      </c>
      <c r="M592" s="1">
        <v>1.218</v>
      </c>
      <c r="N592" s="1">
        <v>885</v>
      </c>
      <c r="O592" s="1">
        <v>221.3</v>
      </c>
      <c r="P592" s="1">
        <v>125.6</v>
      </c>
      <c r="Q592" s="1">
        <v>7.45</v>
      </c>
      <c r="R592" s="1">
        <v>106</v>
      </c>
      <c r="S592" s="1">
        <v>15.74</v>
      </c>
      <c r="T592" s="1">
        <v>10.130000000000001</v>
      </c>
      <c r="U592" s="1">
        <v>0</v>
      </c>
    </row>
    <row r="593" spans="1:21">
      <c r="A593" s="32">
        <v>2</v>
      </c>
      <c r="B593" s="1">
        <v>0.50409999999999999</v>
      </c>
      <c r="C593" s="108">
        <f t="shared" si="31"/>
        <v>73.113655800000004</v>
      </c>
      <c r="D593" s="1">
        <v>525.9</v>
      </c>
      <c r="E593" s="1">
        <f t="shared" si="32"/>
        <v>10.975743606629349</v>
      </c>
      <c r="F593" s="1">
        <v>9.1109999999999997E-2</v>
      </c>
      <c r="G593" s="1">
        <v>205.02</v>
      </c>
      <c r="H593" s="1">
        <v>577.05999999999995</v>
      </c>
      <c r="I593" s="1">
        <v>1.0181</v>
      </c>
      <c r="J593" s="1">
        <v>2.3702999999999999</v>
      </c>
      <c r="K593" s="1">
        <v>2.508</v>
      </c>
      <c r="L593" s="1">
        <v>1.7569999999999999</v>
      </c>
      <c r="M593" s="1">
        <v>1.2210000000000001</v>
      </c>
      <c r="N593" s="1">
        <v>872</v>
      </c>
      <c r="O593" s="1">
        <v>221.1</v>
      </c>
      <c r="P593" s="1">
        <v>123</v>
      </c>
      <c r="Q593" s="1">
        <v>7.51</v>
      </c>
      <c r="R593" s="1">
        <v>104.9</v>
      </c>
      <c r="S593" s="1">
        <v>15.97</v>
      </c>
      <c r="T593" s="1">
        <v>9.8699999999999992</v>
      </c>
      <c r="U593" s="1">
        <v>2</v>
      </c>
    </row>
    <row r="594" spans="1:21">
      <c r="A594" s="32">
        <v>4</v>
      </c>
      <c r="B594" s="1">
        <v>0.53510000000000002</v>
      </c>
      <c r="C594" s="108">
        <f t="shared" si="31"/>
        <v>77.609833800000004</v>
      </c>
      <c r="D594" s="1">
        <v>523.1</v>
      </c>
      <c r="E594" s="1">
        <f t="shared" si="32"/>
        <v>11.630611770179112</v>
      </c>
      <c r="F594" s="1">
        <v>8.5980000000000001E-2</v>
      </c>
      <c r="G594" s="1">
        <v>210.06</v>
      </c>
      <c r="H594" s="1">
        <v>579.24</v>
      </c>
      <c r="I594" s="1">
        <v>1.0362</v>
      </c>
      <c r="J594" s="1">
        <v>2.3681999999999999</v>
      </c>
      <c r="K594" s="1">
        <v>2.524</v>
      </c>
      <c r="L594" s="1">
        <v>1.776</v>
      </c>
      <c r="M594" s="1">
        <v>1.2250000000000001</v>
      </c>
      <c r="N594" s="1">
        <v>859</v>
      </c>
      <c r="O594" s="1">
        <v>220.8</v>
      </c>
      <c r="P594" s="1">
        <v>120.5</v>
      </c>
      <c r="Q594" s="1">
        <v>7.57</v>
      </c>
      <c r="R594" s="1">
        <v>103.9</v>
      </c>
      <c r="S594" s="1">
        <v>16.2</v>
      </c>
      <c r="T594" s="1">
        <v>9.6199999999999992</v>
      </c>
      <c r="U594" s="1">
        <v>4</v>
      </c>
    </row>
    <row r="595" spans="1:21">
      <c r="A595" s="32">
        <v>6</v>
      </c>
      <c r="B595" s="1">
        <v>0.56749000000000005</v>
      </c>
      <c r="C595" s="108">
        <f t="shared" si="31"/>
        <v>82.30761462000001</v>
      </c>
      <c r="D595" s="1">
        <v>520.4</v>
      </c>
      <c r="E595" s="1">
        <f t="shared" si="32"/>
        <v>12.315270935960593</v>
      </c>
      <c r="F595" s="1">
        <v>8.1199999999999994E-2</v>
      </c>
      <c r="G595" s="1">
        <v>215.14</v>
      </c>
      <c r="H595" s="1">
        <v>581.41</v>
      </c>
      <c r="I595" s="1">
        <v>1.0542</v>
      </c>
      <c r="J595" s="1">
        <v>2.3662999999999998</v>
      </c>
      <c r="K595" s="1">
        <v>2.54</v>
      </c>
      <c r="L595" s="1">
        <v>1.7949999999999999</v>
      </c>
      <c r="M595" s="1">
        <v>1.2290000000000001</v>
      </c>
      <c r="N595" s="1">
        <v>846</v>
      </c>
      <c r="O595" s="1">
        <v>220.5</v>
      </c>
      <c r="P595" s="1">
        <v>118.1</v>
      </c>
      <c r="Q595" s="1">
        <v>7.63</v>
      </c>
      <c r="R595" s="1">
        <v>102.9</v>
      </c>
      <c r="S595" s="1">
        <v>16.440000000000001</v>
      </c>
      <c r="T595" s="1">
        <v>9.36</v>
      </c>
      <c r="U595" s="1">
        <v>6</v>
      </c>
    </row>
    <row r="596" spans="1:21">
      <c r="A596" s="32">
        <v>8</v>
      </c>
      <c r="B596" s="1">
        <v>0.60131000000000001</v>
      </c>
      <c r="C596" s="108">
        <f t="shared" si="31"/>
        <v>87.212799780000012</v>
      </c>
      <c r="D596" s="1">
        <v>517.6</v>
      </c>
      <c r="E596" s="1">
        <f t="shared" si="32"/>
        <v>13.032712107389546</v>
      </c>
      <c r="F596" s="1">
        <v>7.6730000000000007E-2</v>
      </c>
      <c r="G596" s="1">
        <v>220.25</v>
      </c>
      <c r="H596" s="1">
        <v>583.54999999999995</v>
      </c>
      <c r="I596" s="1">
        <v>1.0722</v>
      </c>
      <c r="J596" s="1">
        <v>2.3643999999999998</v>
      </c>
      <c r="K596" s="1">
        <v>2.556</v>
      </c>
      <c r="L596" s="1">
        <v>1.8149999999999999</v>
      </c>
      <c r="M596" s="1">
        <v>1.232</v>
      </c>
      <c r="N596" s="1">
        <v>833</v>
      </c>
      <c r="O596" s="1">
        <v>220.2</v>
      </c>
      <c r="P596" s="1">
        <v>115.7</v>
      </c>
      <c r="Q596" s="1">
        <v>7.69</v>
      </c>
      <c r="R596" s="1">
        <v>101.9</v>
      </c>
      <c r="S596" s="1">
        <v>16.68</v>
      </c>
      <c r="T596" s="1">
        <v>9.1</v>
      </c>
      <c r="U596" s="1">
        <v>8</v>
      </c>
    </row>
    <row r="597" spans="1:21">
      <c r="A597" s="32">
        <v>10</v>
      </c>
      <c r="B597" s="1">
        <v>0.63660000000000005</v>
      </c>
      <c r="C597" s="108">
        <f t="shared" si="31"/>
        <v>92.331190800000016</v>
      </c>
      <c r="D597" s="1">
        <v>514.70000000000005</v>
      </c>
      <c r="E597" s="1">
        <f t="shared" si="32"/>
        <v>13.783597518952446</v>
      </c>
      <c r="F597" s="1">
        <v>7.2550000000000003E-2</v>
      </c>
      <c r="G597" s="1">
        <v>225.4</v>
      </c>
      <c r="H597" s="1">
        <v>585.66999999999996</v>
      </c>
      <c r="I597" s="1">
        <v>1.0902000000000001</v>
      </c>
      <c r="J597" s="1">
        <v>2.3626</v>
      </c>
      <c r="K597" s="1">
        <v>2.573</v>
      </c>
      <c r="L597" s="1">
        <v>1.835</v>
      </c>
      <c r="M597" s="1">
        <v>1.2370000000000001</v>
      </c>
      <c r="N597" s="1">
        <v>819</v>
      </c>
      <c r="O597" s="1">
        <v>219.8</v>
      </c>
      <c r="P597" s="1">
        <v>113.3</v>
      </c>
      <c r="Q597" s="1">
        <v>7.75</v>
      </c>
      <c r="R597" s="1">
        <v>100.9</v>
      </c>
      <c r="S597" s="1">
        <v>16.93</v>
      </c>
      <c r="T597" s="1">
        <v>8.85</v>
      </c>
      <c r="U597" s="1">
        <v>10</v>
      </c>
    </row>
    <row r="598" spans="1:21">
      <c r="A598" s="32">
        <v>12</v>
      </c>
      <c r="B598" s="1">
        <v>0.6734</v>
      </c>
      <c r="C598" s="108">
        <f t="shared" si="31"/>
        <v>97.668589200000014</v>
      </c>
      <c r="D598" s="1">
        <v>511.9</v>
      </c>
      <c r="E598" s="1">
        <f t="shared" si="32"/>
        <v>14.566642388929351</v>
      </c>
      <c r="F598" s="1">
        <v>6.8650000000000003E-2</v>
      </c>
      <c r="G598" s="1">
        <v>230.57</v>
      </c>
      <c r="H598" s="1">
        <v>587.77</v>
      </c>
      <c r="I598" s="1">
        <v>1.1082000000000001</v>
      </c>
      <c r="J598" s="1">
        <v>2.3607999999999998</v>
      </c>
      <c r="K598" s="1">
        <v>2.5910000000000002</v>
      </c>
      <c r="L598" s="1">
        <v>1.8560000000000001</v>
      </c>
      <c r="M598" s="1">
        <v>1.2410000000000001</v>
      </c>
      <c r="N598" s="1">
        <v>806</v>
      </c>
      <c r="O598" s="1">
        <v>219.3</v>
      </c>
      <c r="P598" s="1">
        <v>111</v>
      </c>
      <c r="Q598" s="1">
        <v>7.82</v>
      </c>
      <c r="R598" s="1">
        <v>99.9</v>
      </c>
      <c r="S598" s="1">
        <v>17.18</v>
      </c>
      <c r="T598" s="1">
        <v>8.6</v>
      </c>
      <c r="U598" s="1">
        <v>12</v>
      </c>
    </row>
    <row r="599" spans="1:21">
      <c r="A599" s="32">
        <v>14</v>
      </c>
      <c r="B599" s="1">
        <v>0.71174999999999999</v>
      </c>
      <c r="C599" s="108">
        <f t="shared" si="31"/>
        <v>103.23079650000001</v>
      </c>
      <c r="D599" s="1">
        <v>509</v>
      </c>
      <c r="E599" s="1">
        <f t="shared" si="32"/>
        <v>15.389350569405972</v>
      </c>
      <c r="F599" s="1">
        <v>6.4979999999999996E-2</v>
      </c>
      <c r="G599" s="1">
        <v>235.79</v>
      </c>
      <c r="H599" s="1">
        <v>589.85</v>
      </c>
      <c r="I599" s="1">
        <v>1.1261000000000001</v>
      </c>
      <c r="J599" s="1">
        <v>2.3592</v>
      </c>
      <c r="K599" s="1">
        <v>2.609</v>
      </c>
      <c r="L599" s="1">
        <v>1.8779999999999999</v>
      </c>
      <c r="M599" s="1">
        <v>1.246</v>
      </c>
      <c r="N599" s="1">
        <v>793</v>
      </c>
      <c r="O599" s="1">
        <v>218.9</v>
      </c>
      <c r="P599" s="1">
        <v>108.8</v>
      </c>
      <c r="Q599" s="1">
        <v>7.88</v>
      </c>
      <c r="R599" s="1">
        <v>99</v>
      </c>
      <c r="S599" s="1">
        <v>17.440000000000001</v>
      </c>
      <c r="T599" s="1">
        <v>8.34</v>
      </c>
      <c r="U599" s="1">
        <v>14</v>
      </c>
    </row>
    <row r="600" spans="1:21">
      <c r="A600" s="32">
        <v>16</v>
      </c>
      <c r="B600" s="1">
        <v>0.75168000000000001</v>
      </c>
      <c r="C600" s="108">
        <f t="shared" si="31"/>
        <v>109.02216384</v>
      </c>
      <c r="D600" s="1">
        <v>506</v>
      </c>
      <c r="E600" s="1">
        <f t="shared" si="32"/>
        <v>16.246953696181965</v>
      </c>
      <c r="F600" s="1">
        <v>6.1550000000000001E-2</v>
      </c>
      <c r="G600" s="1">
        <v>241.03</v>
      </c>
      <c r="H600" s="1">
        <v>591.91</v>
      </c>
      <c r="I600" s="1">
        <v>1.1439999999999999</v>
      </c>
      <c r="J600" s="1">
        <v>2.3574999999999999</v>
      </c>
      <c r="K600" s="1">
        <v>2.6269999999999998</v>
      </c>
      <c r="L600" s="1">
        <v>1.901</v>
      </c>
      <c r="M600" s="1">
        <v>1.2509999999999999</v>
      </c>
      <c r="N600" s="1">
        <v>780</v>
      </c>
      <c r="O600" s="1">
        <v>218.4</v>
      </c>
      <c r="P600" s="1">
        <v>106.6</v>
      </c>
      <c r="Q600" s="1">
        <v>7.95</v>
      </c>
      <c r="R600" s="1">
        <v>98</v>
      </c>
      <c r="S600" s="1">
        <v>17.7</v>
      </c>
      <c r="T600" s="1">
        <v>8.09</v>
      </c>
      <c r="U600" s="1">
        <v>16</v>
      </c>
    </row>
    <row r="601" spans="1:21">
      <c r="A601" s="32">
        <v>18</v>
      </c>
      <c r="B601" s="1">
        <v>0.79323999999999995</v>
      </c>
      <c r="C601" s="108">
        <f t="shared" si="31"/>
        <v>115.04994311999999</v>
      </c>
      <c r="D601" s="1">
        <v>503.1</v>
      </c>
      <c r="E601" s="1">
        <f t="shared" si="32"/>
        <v>17.143836790673753</v>
      </c>
      <c r="F601" s="1">
        <v>5.833E-2</v>
      </c>
      <c r="G601" s="1">
        <v>246.32</v>
      </c>
      <c r="H601" s="1">
        <v>593.94000000000005</v>
      </c>
      <c r="I601" s="1">
        <v>1.1619999999999999</v>
      </c>
      <c r="J601" s="1">
        <v>2.3559999999999999</v>
      </c>
      <c r="K601" s="1">
        <v>2.6459999999999999</v>
      </c>
      <c r="L601" s="1">
        <v>1.925</v>
      </c>
      <c r="M601" s="1">
        <v>1.256</v>
      </c>
      <c r="N601" s="1">
        <v>766</v>
      </c>
      <c r="O601" s="1">
        <v>217.8</v>
      </c>
      <c r="P601" s="1">
        <v>104.4</v>
      </c>
      <c r="Q601" s="1">
        <v>8.02</v>
      </c>
      <c r="R601" s="1">
        <v>97</v>
      </c>
      <c r="S601" s="1">
        <v>17.97</v>
      </c>
      <c r="T601" s="1">
        <v>7.85</v>
      </c>
      <c r="U601" s="1">
        <v>18</v>
      </c>
    </row>
    <row r="602" spans="1:21">
      <c r="A602" s="32">
        <v>20</v>
      </c>
      <c r="B602" s="1">
        <v>0.83645999999999998</v>
      </c>
      <c r="C602" s="108">
        <f t="shared" si="31"/>
        <v>121.31848548000001</v>
      </c>
      <c r="D602" s="1">
        <v>500.1</v>
      </c>
      <c r="E602" s="1">
        <f t="shared" si="32"/>
        <v>18.083182640144663</v>
      </c>
      <c r="F602" s="1">
        <v>5.5300000000000002E-2</v>
      </c>
      <c r="G602" s="1">
        <v>251.64</v>
      </c>
      <c r="H602" s="1">
        <v>595.95000000000005</v>
      </c>
      <c r="I602" s="1">
        <v>1.1798999999999999</v>
      </c>
      <c r="J602" s="1">
        <v>2.3544</v>
      </c>
      <c r="K602" s="1">
        <v>2.6659999999999999</v>
      </c>
      <c r="L602" s="1">
        <v>1.9490000000000001</v>
      </c>
      <c r="M602" s="1">
        <v>1.262</v>
      </c>
      <c r="N602" s="1">
        <v>753</v>
      </c>
      <c r="O602" s="1">
        <v>217.2</v>
      </c>
      <c r="P602" s="1">
        <v>102.3</v>
      </c>
      <c r="Q602" s="1">
        <v>8.09</v>
      </c>
      <c r="R602" s="1">
        <v>96.1</v>
      </c>
      <c r="S602" s="1">
        <v>18.239999999999998</v>
      </c>
      <c r="T602" s="1">
        <v>7.6</v>
      </c>
      <c r="U602" s="1">
        <v>20</v>
      </c>
    </row>
    <row r="603" spans="1:21">
      <c r="A603" s="32">
        <v>22</v>
      </c>
      <c r="B603" s="1">
        <v>0.88139000000000001</v>
      </c>
      <c r="C603" s="108">
        <f t="shared" si="31"/>
        <v>127.83504282000001</v>
      </c>
      <c r="D603" s="1">
        <v>497</v>
      </c>
      <c r="E603" s="1">
        <f t="shared" si="32"/>
        <v>19.062142584826535</v>
      </c>
      <c r="F603" s="1">
        <v>5.246E-2</v>
      </c>
      <c r="G603" s="1">
        <v>256.99</v>
      </c>
      <c r="H603" s="1">
        <v>597.92999999999995</v>
      </c>
      <c r="I603" s="1">
        <v>1.1978</v>
      </c>
      <c r="J603" s="1">
        <v>2.3529</v>
      </c>
      <c r="K603" s="1">
        <v>2.6869999999999998</v>
      </c>
      <c r="L603" s="1">
        <v>1.9750000000000001</v>
      </c>
      <c r="M603" s="1">
        <v>1.268</v>
      </c>
      <c r="N603" s="1">
        <v>739</v>
      </c>
      <c r="O603" s="1">
        <v>216.6</v>
      </c>
      <c r="P603" s="1">
        <v>100.2</v>
      </c>
      <c r="Q603" s="1">
        <v>8.16</v>
      </c>
      <c r="R603" s="1">
        <v>95.1</v>
      </c>
      <c r="S603" s="1">
        <v>18.53</v>
      </c>
      <c r="T603" s="1">
        <v>7.35</v>
      </c>
      <c r="U603" s="1">
        <v>22</v>
      </c>
    </row>
    <row r="604" spans="1:21">
      <c r="A604" s="32">
        <v>24</v>
      </c>
      <c r="B604" s="1">
        <v>0.92806999999999995</v>
      </c>
      <c r="C604" s="108">
        <f t="shared" si="31"/>
        <v>134.60541666</v>
      </c>
      <c r="D604" s="1">
        <v>493.9</v>
      </c>
      <c r="E604" s="1">
        <f t="shared" si="32"/>
        <v>20.088388911209321</v>
      </c>
      <c r="F604" s="1">
        <v>4.9779999999999998E-2</v>
      </c>
      <c r="G604" s="1">
        <v>262.39</v>
      </c>
      <c r="H604" s="1">
        <v>599.88</v>
      </c>
      <c r="I604" s="1">
        <v>1.2157</v>
      </c>
      <c r="J604" s="1">
        <v>2.3513999999999999</v>
      </c>
      <c r="K604" s="1">
        <v>2.7080000000000002</v>
      </c>
      <c r="L604" s="1">
        <v>2.0009999999999999</v>
      </c>
      <c r="M604" s="1">
        <v>1.2749999999999999</v>
      </c>
      <c r="N604" s="1">
        <v>726</v>
      </c>
      <c r="O604" s="1">
        <v>215.9</v>
      </c>
      <c r="P604" s="1">
        <v>98.1</v>
      </c>
      <c r="Q604" s="1">
        <v>8.23</v>
      </c>
      <c r="R604" s="1">
        <v>94.2</v>
      </c>
      <c r="S604" s="1">
        <v>18.809999999999999</v>
      </c>
      <c r="T604" s="1">
        <v>7.11</v>
      </c>
      <c r="U604" s="1">
        <v>24</v>
      </c>
    </row>
    <row r="605" spans="1:21">
      <c r="A605" s="32">
        <v>26</v>
      </c>
      <c r="B605" s="1">
        <v>0.97653000000000001</v>
      </c>
      <c r="C605" s="108">
        <f t="shared" si="31"/>
        <v>141.63395814</v>
      </c>
      <c r="D605" s="1">
        <v>490.8</v>
      </c>
      <c r="E605" s="1">
        <f t="shared" si="32"/>
        <v>21.159542953872194</v>
      </c>
      <c r="F605" s="1">
        <v>4.7260000000000003E-2</v>
      </c>
      <c r="G605" s="1">
        <v>267.83</v>
      </c>
      <c r="H605" s="1">
        <v>601.79999999999995</v>
      </c>
      <c r="I605" s="1">
        <v>1.2336</v>
      </c>
      <c r="J605" s="1">
        <v>2.35</v>
      </c>
      <c r="K605" s="1">
        <v>2.73</v>
      </c>
      <c r="L605" s="1">
        <v>2.0289999999999999</v>
      </c>
      <c r="M605" s="1">
        <v>1.282</v>
      </c>
      <c r="N605" s="1">
        <v>713</v>
      </c>
      <c r="O605" s="1">
        <v>215.2</v>
      </c>
      <c r="P605" s="1">
        <v>96.1</v>
      </c>
      <c r="Q605" s="1">
        <v>8.31</v>
      </c>
      <c r="R605" s="1">
        <v>93.3</v>
      </c>
      <c r="S605" s="1">
        <v>19.11</v>
      </c>
      <c r="T605" s="1">
        <v>6.87</v>
      </c>
      <c r="U605" s="1">
        <v>26</v>
      </c>
    </row>
    <row r="606" spans="1:21">
      <c r="A606" s="32">
        <v>28</v>
      </c>
      <c r="B606" s="1">
        <v>1.0267999999999999</v>
      </c>
      <c r="C606" s="108">
        <f t="shared" si="31"/>
        <v>148.9250184</v>
      </c>
      <c r="D606" s="1">
        <v>487.6</v>
      </c>
      <c r="E606" s="1">
        <f t="shared" si="32"/>
        <v>22.281639928698752</v>
      </c>
      <c r="F606" s="1">
        <v>4.4880000000000003E-2</v>
      </c>
      <c r="G606" s="1">
        <v>273.31</v>
      </c>
      <c r="H606" s="1">
        <v>603.67999999999995</v>
      </c>
      <c r="I606" s="1">
        <v>1.2515000000000001</v>
      </c>
      <c r="J606" s="1">
        <v>2.3485999999999998</v>
      </c>
      <c r="K606" s="1">
        <v>2.7530000000000001</v>
      </c>
      <c r="L606" s="1">
        <v>2.0579999999999998</v>
      </c>
      <c r="M606" s="1">
        <v>1.29</v>
      </c>
      <c r="N606" s="1">
        <v>699</v>
      </c>
      <c r="O606" s="1">
        <v>214.4</v>
      </c>
      <c r="P606" s="1">
        <v>94.1</v>
      </c>
      <c r="Q606" s="1">
        <v>8.3800000000000008</v>
      </c>
      <c r="R606" s="1">
        <v>92.3</v>
      </c>
      <c r="S606" s="1">
        <v>19.41</v>
      </c>
      <c r="T606" s="1">
        <v>6.62</v>
      </c>
      <c r="U606" s="1">
        <v>28</v>
      </c>
    </row>
    <row r="607" spans="1:21">
      <c r="A607" s="32">
        <v>30</v>
      </c>
      <c r="B607" s="1">
        <v>1.079</v>
      </c>
      <c r="C607" s="108">
        <f t="shared" si="31"/>
        <v>156.496002</v>
      </c>
      <c r="D607" s="1">
        <v>484.4</v>
      </c>
      <c r="E607" s="1">
        <f t="shared" si="32"/>
        <v>23.452157598499063</v>
      </c>
      <c r="F607" s="1">
        <v>4.2639999999999997E-2</v>
      </c>
      <c r="G607" s="1">
        <v>278.83</v>
      </c>
      <c r="H607" s="1">
        <v>605.54</v>
      </c>
      <c r="I607" s="1">
        <v>1.2695000000000001</v>
      </c>
      <c r="J607" s="1">
        <v>2.3471000000000002</v>
      </c>
      <c r="K607" s="1">
        <v>2.7770000000000001</v>
      </c>
      <c r="L607" s="1">
        <v>2.0880000000000001</v>
      </c>
      <c r="M607" s="1">
        <v>1.298</v>
      </c>
      <c r="N607" s="1">
        <v>685</v>
      </c>
      <c r="O607" s="1">
        <v>213.5</v>
      </c>
      <c r="P607" s="1">
        <v>92.2</v>
      </c>
      <c r="Q607" s="1">
        <v>8.4600000000000009</v>
      </c>
      <c r="R607" s="1">
        <v>91.4</v>
      </c>
      <c r="S607" s="1">
        <v>19.72</v>
      </c>
      <c r="T607" s="1">
        <v>6.38</v>
      </c>
      <c r="U607" s="1">
        <v>30</v>
      </c>
    </row>
    <row r="608" spans="1:21">
      <c r="A608" s="32">
        <v>32</v>
      </c>
      <c r="B608" s="1">
        <v>1.1331</v>
      </c>
      <c r="C608" s="108">
        <f t="shared" si="31"/>
        <v>164.34255780000001</v>
      </c>
      <c r="D608" s="1">
        <v>481.1</v>
      </c>
      <c r="E608" s="1">
        <f t="shared" si="32"/>
        <v>24.673081667900323</v>
      </c>
      <c r="F608" s="1">
        <v>4.0529999999999997E-2</v>
      </c>
      <c r="G608" s="1">
        <v>284.39999999999998</v>
      </c>
      <c r="H608" s="1">
        <v>607.35</v>
      </c>
      <c r="I608" s="1">
        <v>1.2874000000000001</v>
      </c>
      <c r="J608" s="1">
        <v>2.3456999999999999</v>
      </c>
      <c r="K608" s="1">
        <v>2.802</v>
      </c>
      <c r="L608" s="1">
        <v>2.1190000000000002</v>
      </c>
      <c r="M608" s="1">
        <v>1.3069999999999999</v>
      </c>
      <c r="N608" s="1">
        <v>672</v>
      </c>
      <c r="O608" s="1">
        <v>212.6</v>
      </c>
      <c r="P608" s="1">
        <v>90.3</v>
      </c>
      <c r="Q608" s="1">
        <v>8.5399999999999991</v>
      </c>
      <c r="R608" s="1">
        <v>90.5</v>
      </c>
      <c r="S608" s="1">
        <v>20.05</v>
      </c>
      <c r="T608" s="1">
        <v>6.15</v>
      </c>
      <c r="U608" s="1">
        <v>32</v>
      </c>
    </row>
    <row r="609" spans="1:21">
      <c r="A609" s="32">
        <v>34</v>
      </c>
      <c r="B609" s="1">
        <v>1.1891</v>
      </c>
      <c r="C609" s="108">
        <f t="shared" si="31"/>
        <v>172.46468580000001</v>
      </c>
      <c r="D609" s="1">
        <v>477.8</v>
      </c>
      <c r="E609" s="1">
        <f t="shared" si="32"/>
        <v>25.953802232026991</v>
      </c>
      <c r="F609" s="1">
        <v>3.8530000000000002E-2</v>
      </c>
      <c r="G609" s="1">
        <v>290.01</v>
      </c>
      <c r="H609" s="1">
        <v>609.13</v>
      </c>
      <c r="I609" s="1">
        <v>1.3052999999999999</v>
      </c>
      <c r="J609" s="1">
        <v>2.3443000000000001</v>
      </c>
      <c r="K609" s="1">
        <v>2.827</v>
      </c>
      <c r="L609" s="1">
        <v>2.1520000000000001</v>
      </c>
      <c r="M609" s="1">
        <v>1.3160000000000001</v>
      </c>
      <c r="N609" s="1">
        <v>658</v>
      </c>
      <c r="O609" s="1">
        <v>211.7</v>
      </c>
      <c r="P609" s="1">
        <v>88.4</v>
      </c>
      <c r="Q609" s="1">
        <v>8.6300000000000008</v>
      </c>
      <c r="R609" s="1">
        <v>89.6</v>
      </c>
      <c r="S609" s="1">
        <v>20.38</v>
      </c>
      <c r="T609" s="1">
        <v>5.91</v>
      </c>
      <c r="U609" s="1">
        <v>34</v>
      </c>
    </row>
    <row r="610" spans="1:21">
      <c r="A610" s="32">
        <v>36</v>
      </c>
      <c r="B610" s="1">
        <v>1.2472000000000001</v>
      </c>
      <c r="C610" s="108">
        <f t="shared" si="31"/>
        <v>180.89139360000001</v>
      </c>
      <c r="D610" s="1">
        <v>474.4</v>
      </c>
      <c r="E610" s="1">
        <f t="shared" si="32"/>
        <v>27.292576419213976</v>
      </c>
      <c r="F610" s="1">
        <v>3.6639999999999999E-2</v>
      </c>
      <c r="G610" s="1">
        <v>295.68</v>
      </c>
      <c r="H610" s="1">
        <v>610.87</v>
      </c>
      <c r="I610" s="1">
        <v>1.3232999999999999</v>
      </c>
      <c r="J610" s="1">
        <v>2.3429000000000002</v>
      </c>
      <c r="K610" s="1">
        <v>2.855</v>
      </c>
      <c r="L610" s="1">
        <v>2.1869999999999998</v>
      </c>
      <c r="M610" s="1">
        <v>1.3260000000000001</v>
      </c>
      <c r="N610" s="1">
        <v>645</v>
      </c>
      <c r="O610" s="1">
        <v>210.7</v>
      </c>
      <c r="P610" s="1">
        <v>86.5</v>
      </c>
      <c r="Q610" s="1">
        <v>8.7100000000000009</v>
      </c>
      <c r="R610" s="1">
        <v>88.7</v>
      </c>
      <c r="S610" s="1">
        <v>20.72</v>
      </c>
      <c r="T610" s="1">
        <v>5.68</v>
      </c>
      <c r="U610" s="1">
        <v>36</v>
      </c>
    </row>
    <row r="611" spans="1:21">
      <c r="A611" s="32">
        <v>38</v>
      </c>
      <c r="B611" s="1">
        <v>1.3071999999999999</v>
      </c>
      <c r="C611" s="108">
        <f t="shared" si="31"/>
        <v>189.59367359999999</v>
      </c>
      <c r="D611" s="1">
        <v>471</v>
      </c>
      <c r="E611" s="1">
        <f t="shared" si="32"/>
        <v>28.694404591104735</v>
      </c>
      <c r="F611" s="1">
        <v>3.4849999999999999E-2</v>
      </c>
      <c r="G611" s="1">
        <v>301.39</v>
      </c>
      <c r="H611" s="1">
        <v>612.57000000000005</v>
      </c>
      <c r="I611" s="1">
        <v>1.3412999999999999</v>
      </c>
      <c r="J611" s="1">
        <v>2.3414000000000001</v>
      </c>
      <c r="K611" s="1">
        <v>2.883</v>
      </c>
      <c r="L611" s="1">
        <v>2.2240000000000002</v>
      </c>
      <c r="M611" s="1">
        <v>1.337</v>
      </c>
      <c r="N611" s="1">
        <v>631</v>
      </c>
      <c r="O611" s="1">
        <v>209.7</v>
      </c>
      <c r="P611" s="1">
        <v>84.7</v>
      </c>
      <c r="Q611" s="1">
        <v>8.8000000000000007</v>
      </c>
      <c r="R611" s="1">
        <v>87.8</v>
      </c>
      <c r="S611" s="1">
        <v>21.07</v>
      </c>
      <c r="T611" s="1">
        <v>5.44</v>
      </c>
      <c r="U611" s="1">
        <v>38</v>
      </c>
    </row>
    <row r="612" spans="1:21">
      <c r="A612" s="32">
        <v>40</v>
      </c>
      <c r="B612" s="1">
        <v>1.3694</v>
      </c>
      <c r="C612" s="108">
        <f t="shared" si="31"/>
        <v>198.61503720000002</v>
      </c>
      <c r="D612" s="1">
        <v>467.5</v>
      </c>
      <c r="E612" s="1">
        <f t="shared" si="32"/>
        <v>30.165912518853695</v>
      </c>
      <c r="F612" s="1">
        <v>3.3149999999999999E-2</v>
      </c>
      <c r="G612" s="1">
        <v>307.14999999999998</v>
      </c>
      <c r="H612" s="1">
        <v>614.21</v>
      </c>
      <c r="I612" s="1">
        <v>1.3593999999999999</v>
      </c>
      <c r="J612" s="1">
        <v>2.3399000000000001</v>
      </c>
      <c r="K612" s="1">
        <v>2.9129999999999998</v>
      </c>
      <c r="L612" s="1">
        <v>2.2629999999999999</v>
      </c>
      <c r="M612" s="1">
        <v>1.349</v>
      </c>
      <c r="N612" s="1">
        <v>617</v>
      </c>
      <c r="O612" s="1">
        <v>208.6</v>
      </c>
      <c r="P612" s="1">
        <v>82.8</v>
      </c>
      <c r="Q612" s="1">
        <v>8.89</v>
      </c>
      <c r="R612" s="1">
        <v>86.9</v>
      </c>
      <c r="S612" s="1">
        <v>21.43</v>
      </c>
      <c r="T612" s="1">
        <v>5.21</v>
      </c>
      <c r="U612" s="1">
        <v>40</v>
      </c>
    </row>
    <row r="613" spans="1:21">
      <c r="A613" s="32">
        <v>42</v>
      </c>
      <c r="B613" s="1">
        <v>1.4337</v>
      </c>
      <c r="C613" s="108">
        <f t="shared" si="31"/>
        <v>207.94098060000002</v>
      </c>
      <c r="D613" s="1">
        <v>463.9</v>
      </c>
      <c r="E613" s="1">
        <f t="shared" si="32"/>
        <v>31.705770450221941</v>
      </c>
      <c r="F613" s="1">
        <v>3.1539999999999999E-2</v>
      </c>
      <c r="G613" s="1">
        <v>312.95999999999998</v>
      </c>
      <c r="H613" s="1">
        <v>615.80999999999995</v>
      </c>
      <c r="I613" s="1">
        <v>1.3774</v>
      </c>
      <c r="J613" s="1">
        <v>2.3384</v>
      </c>
      <c r="K613" s="1">
        <v>2.944</v>
      </c>
      <c r="L613" s="1">
        <v>2.3039999999999998</v>
      </c>
      <c r="M613" s="1">
        <v>1.3620000000000001</v>
      </c>
      <c r="N613" s="1">
        <v>603</v>
      </c>
      <c r="O613" s="1">
        <v>207.4</v>
      </c>
      <c r="P613" s="1">
        <v>81</v>
      </c>
      <c r="Q613" s="1">
        <v>8.99</v>
      </c>
      <c r="R613" s="1">
        <v>86</v>
      </c>
      <c r="S613" s="1">
        <v>21.81</v>
      </c>
      <c r="T613" s="1">
        <v>4.9800000000000004</v>
      </c>
      <c r="U613" s="1">
        <v>42</v>
      </c>
    </row>
    <row r="614" spans="1:21">
      <c r="A614" s="32">
        <v>44</v>
      </c>
      <c r="B614" s="1">
        <v>1.5002</v>
      </c>
      <c r="C614" s="108">
        <f t="shared" si="31"/>
        <v>217.58600760000002</v>
      </c>
      <c r="D614" s="1">
        <v>460.3</v>
      </c>
      <c r="E614" s="1">
        <f t="shared" si="32"/>
        <v>33.311125916055964</v>
      </c>
      <c r="F614" s="1">
        <v>3.0020000000000002E-2</v>
      </c>
      <c r="G614" s="1">
        <v>318.83</v>
      </c>
      <c r="H614" s="1">
        <v>617.36</v>
      </c>
      <c r="I614" s="1">
        <v>1.3955</v>
      </c>
      <c r="J614" s="1">
        <v>2.3368000000000002</v>
      </c>
      <c r="K614" s="1">
        <v>2.9769999999999999</v>
      </c>
      <c r="L614" s="1">
        <v>2.3479999999999999</v>
      </c>
      <c r="M614" s="1">
        <v>1.375</v>
      </c>
      <c r="N614" s="1">
        <v>589</v>
      </c>
      <c r="O614" s="1">
        <v>206.2</v>
      </c>
      <c r="P614" s="1">
        <v>79.3</v>
      </c>
      <c r="Q614" s="1">
        <v>9.08</v>
      </c>
      <c r="R614" s="1">
        <v>85.2</v>
      </c>
      <c r="S614" s="1">
        <v>22.2</v>
      </c>
      <c r="T614" s="1">
        <v>4.76</v>
      </c>
      <c r="U614" s="1">
        <v>44</v>
      </c>
    </row>
    <row r="615" spans="1:21">
      <c r="A615" s="32">
        <v>46</v>
      </c>
      <c r="B615" s="1">
        <v>1.569</v>
      </c>
      <c r="C615" s="108">
        <f t="shared" si="31"/>
        <v>227.56462200000001</v>
      </c>
      <c r="D615" s="1">
        <v>456.5</v>
      </c>
      <c r="E615" s="1">
        <f t="shared" si="32"/>
        <v>35.001750087504377</v>
      </c>
      <c r="F615" s="1">
        <v>2.8570000000000002E-2</v>
      </c>
      <c r="G615" s="1">
        <v>324.76</v>
      </c>
      <c r="H615" s="1">
        <v>618.86</v>
      </c>
      <c r="I615" s="1">
        <v>1.4137</v>
      </c>
      <c r="J615" s="1">
        <v>2.3351999999999999</v>
      </c>
      <c r="K615" s="1">
        <v>3.012</v>
      </c>
      <c r="L615" s="1">
        <v>2.395</v>
      </c>
      <c r="M615" s="1">
        <v>1.391</v>
      </c>
      <c r="N615" s="1">
        <v>575</v>
      </c>
      <c r="O615" s="1">
        <v>204.9</v>
      </c>
      <c r="P615" s="1">
        <v>77.5</v>
      </c>
      <c r="Q615" s="1">
        <v>9.19</v>
      </c>
      <c r="R615" s="1">
        <v>84.3</v>
      </c>
      <c r="S615" s="1">
        <v>22.6</v>
      </c>
      <c r="T615" s="1">
        <v>4.53</v>
      </c>
      <c r="U615" s="1">
        <v>46</v>
      </c>
    </row>
    <row r="616" spans="1:21">
      <c r="A616" s="32">
        <v>48</v>
      </c>
      <c r="B616" s="1">
        <v>1.64</v>
      </c>
      <c r="C616" s="108">
        <f t="shared" si="31"/>
        <v>237.86232000000001</v>
      </c>
      <c r="D616" s="1">
        <v>452.7</v>
      </c>
      <c r="E616" s="1">
        <f t="shared" si="32"/>
        <v>36.764705882352942</v>
      </c>
      <c r="F616" s="1">
        <v>2.7199999999999998E-2</v>
      </c>
      <c r="G616" s="1">
        <v>330.75</v>
      </c>
      <c r="H616" s="1">
        <v>620.29</v>
      </c>
      <c r="I616" s="1">
        <v>1.4319</v>
      </c>
      <c r="J616" s="1">
        <v>2.3334999999999999</v>
      </c>
      <c r="K616" s="1">
        <v>3.05</v>
      </c>
      <c r="L616" s="1">
        <v>2.4449999999999998</v>
      </c>
      <c r="M616" s="1">
        <v>1.407</v>
      </c>
      <c r="N616" s="1">
        <v>561</v>
      </c>
      <c r="O616" s="1">
        <v>203.6</v>
      </c>
      <c r="P616" s="1">
        <v>75.8</v>
      </c>
      <c r="Q616" s="1">
        <v>9.2899999999999991</v>
      </c>
      <c r="R616" s="1">
        <v>83.5</v>
      </c>
      <c r="S616" s="1">
        <v>23.03</v>
      </c>
      <c r="T616" s="1">
        <v>4.3099999999999996</v>
      </c>
      <c r="U616" s="1">
        <v>48</v>
      </c>
    </row>
    <row r="617" spans="1:21">
      <c r="A617" s="32">
        <v>50</v>
      </c>
      <c r="B617" s="1">
        <v>1.7133</v>
      </c>
      <c r="C617" s="108">
        <f t="shared" si="31"/>
        <v>248.49360540000004</v>
      </c>
      <c r="D617" s="1">
        <v>448.9</v>
      </c>
      <c r="E617" s="1">
        <f t="shared" si="32"/>
        <v>38.624951718810351</v>
      </c>
      <c r="F617" s="1">
        <v>2.589E-2</v>
      </c>
      <c r="G617" s="1">
        <v>336.8</v>
      </c>
      <c r="H617" s="1">
        <v>621.66</v>
      </c>
      <c r="I617" s="1">
        <v>1.4501999999999999</v>
      </c>
      <c r="J617" s="1">
        <v>2.3317000000000001</v>
      </c>
      <c r="K617" s="1">
        <v>3.089</v>
      </c>
      <c r="L617" s="1">
        <v>2.4990000000000001</v>
      </c>
      <c r="M617" s="1">
        <v>1.425</v>
      </c>
      <c r="N617" s="1">
        <v>547</v>
      </c>
      <c r="O617" s="1">
        <v>202.2</v>
      </c>
      <c r="P617" s="1">
        <v>74.099999999999994</v>
      </c>
      <c r="Q617" s="1">
        <v>9.4</v>
      </c>
      <c r="R617" s="1">
        <v>82.6</v>
      </c>
      <c r="S617" s="1">
        <v>23.47</v>
      </c>
      <c r="T617" s="1">
        <v>4.09</v>
      </c>
      <c r="U617" s="1">
        <v>50</v>
      </c>
    </row>
    <row r="618" spans="1:21">
      <c r="A618" s="32">
        <v>55</v>
      </c>
      <c r="B618" s="1">
        <v>1.9072</v>
      </c>
      <c r="C618" s="108">
        <f t="shared" si="31"/>
        <v>276.61647360000001</v>
      </c>
      <c r="D618" s="1">
        <v>438.8</v>
      </c>
      <c r="E618" s="1">
        <f t="shared" si="32"/>
        <v>43.706293706293707</v>
      </c>
      <c r="F618" s="1">
        <v>2.2880000000000001E-2</v>
      </c>
      <c r="G618" s="1">
        <v>352.23</v>
      </c>
      <c r="H618" s="1">
        <v>624.77</v>
      </c>
      <c r="I618" s="1">
        <v>1.4962</v>
      </c>
      <c r="J618" s="1">
        <v>2.3268</v>
      </c>
      <c r="K618" s="1">
        <v>3.2010000000000001</v>
      </c>
      <c r="L618" s="1">
        <v>2.6520000000000001</v>
      </c>
      <c r="M618" s="1">
        <v>1.478</v>
      </c>
      <c r="N618" s="1">
        <v>511</v>
      </c>
      <c r="O618" s="1">
        <v>198.3</v>
      </c>
      <c r="P618" s="1">
        <v>69.8</v>
      </c>
      <c r="Q618" s="1">
        <v>9.6999999999999993</v>
      </c>
      <c r="R618" s="1">
        <v>80.5</v>
      </c>
      <c r="S618" s="1">
        <v>24.65</v>
      </c>
      <c r="T618" s="1">
        <v>3.55</v>
      </c>
      <c r="U618" s="1">
        <v>55</v>
      </c>
    </row>
    <row r="619" spans="1:21">
      <c r="A619" s="32">
        <v>60</v>
      </c>
      <c r="B619" s="1">
        <v>2.1168</v>
      </c>
      <c r="C619" s="108">
        <f t="shared" si="31"/>
        <v>307.01643840000003</v>
      </c>
      <c r="D619" s="1">
        <v>428</v>
      </c>
      <c r="E619" s="1">
        <f t="shared" si="32"/>
        <v>49.504950495049506</v>
      </c>
      <c r="F619" s="1">
        <v>2.0199999999999999E-2</v>
      </c>
      <c r="G619" s="1">
        <v>368.14</v>
      </c>
      <c r="H619" s="1">
        <v>627.36</v>
      </c>
      <c r="I619" s="1">
        <v>1.5428999999999999</v>
      </c>
      <c r="J619" s="1">
        <v>2.3210000000000002</v>
      </c>
      <c r="K619" s="1">
        <v>3.3370000000000002</v>
      </c>
      <c r="L619" s="1">
        <v>2.8410000000000002</v>
      </c>
      <c r="M619" s="1">
        <v>1.548</v>
      </c>
      <c r="N619" s="1">
        <v>474</v>
      </c>
      <c r="O619" s="1">
        <v>194.1</v>
      </c>
      <c r="P619" s="1">
        <v>65.7</v>
      </c>
      <c r="Q619" s="1">
        <v>10.029999999999999</v>
      </c>
      <c r="R619" s="1">
        <v>78.400000000000006</v>
      </c>
      <c r="S619" s="1">
        <v>26</v>
      </c>
      <c r="T619" s="1">
        <v>3.02</v>
      </c>
      <c r="U619" s="1">
        <v>60</v>
      </c>
    </row>
    <row r="620" spans="1:21">
      <c r="A620" s="32">
        <v>65</v>
      </c>
      <c r="B620" s="1">
        <v>2.343</v>
      </c>
      <c r="C620" s="108">
        <f t="shared" si="31"/>
        <v>339.82403400000004</v>
      </c>
      <c r="D620" s="1">
        <v>416.3</v>
      </c>
      <c r="E620" s="1">
        <f t="shared" si="32"/>
        <v>56.148231330713081</v>
      </c>
      <c r="F620" s="1">
        <v>1.7809999999999999E-2</v>
      </c>
      <c r="G620" s="1">
        <v>384.6</v>
      </c>
      <c r="H620" s="1">
        <v>629.29</v>
      </c>
      <c r="I620" s="1">
        <v>1.5903</v>
      </c>
      <c r="J620" s="1">
        <v>2.3138999999999998</v>
      </c>
      <c r="K620" s="1">
        <v>3.5089999999999999</v>
      </c>
      <c r="L620" s="1">
        <v>3.0859999999999999</v>
      </c>
      <c r="M620" s="1">
        <v>1.641</v>
      </c>
      <c r="N620" s="1">
        <v>437</v>
      </c>
      <c r="O620" s="1">
        <v>189.3</v>
      </c>
      <c r="P620" s="1">
        <v>61.5</v>
      </c>
      <c r="Q620" s="1">
        <v>10.42</v>
      </c>
      <c r="R620" s="1">
        <v>76.3</v>
      </c>
      <c r="S620" s="1">
        <v>27.56</v>
      </c>
      <c r="T620" s="1">
        <v>2.52</v>
      </c>
      <c r="U620" s="1">
        <v>65</v>
      </c>
    </row>
    <row r="621" spans="1:21">
      <c r="A621" s="32">
        <v>70</v>
      </c>
      <c r="B621" s="1">
        <v>2.5868000000000002</v>
      </c>
      <c r="C621" s="108">
        <f t="shared" si="31"/>
        <v>375.18429840000005</v>
      </c>
      <c r="D621" s="1">
        <v>403.6</v>
      </c>
      <c r="E621" s="1">
        <f t="shared" si="32"/>
        <v>63.897763578274756</v>
      </c>
      <c r="F621" s="1">
        <v>1.5650000000000001E-2</v>
      </c>
      <c r="G621" s="1">
        <v>401.75</v>
      </c>
      <c r="H621" s="1">
        <v>630.37</v>
      </c>
      <c r="I621" s="1">
        <v>1.6389</v>
      </c>
      <c r="J621" s="1">
        <v>2.3052000000000001</v>
      </c>
      <c r="K621" s="1">
        <v>3.7349999999999999</v>
      </c>
      <c r="L621" s="1">
        <v>3.4209999999999998</v>
      </c>
      <c r="M621" s="1">
        <v>1.7729999999999999</v>
      </c>
      <c r="N621" s="1">
        <v>398</v>
      </c>
      <c r="O621" s="1">
        <v>184</v>
      </c>
      <c r="P621" s="1">
        <v>57.4</v>
      </c>
      <c r="Q621" s="1">
        <v>10.86</v>
      </c>
      <c r="R621" s="1">
        <v>74.3</v>
      </c>
      <c r="S621" s="1">
        <v>29.41</v>
      </c>
      <c r="T621" s="1">
        <v>2.0299999999999998</v>
      </c>
      <c r="U621" s="1">
        <v>70</v>
      </c>
    </row>
    <row r="622" spans="1:21">
      <c r="A622" s="32">
        <v>75</v>
      </c>
      <c r="B622" s="1">
        <v>2.8492999999999999</v>
      </c>
      <c r="C622" s="108">
        <f t="shared" si="31"/>
        <v>413.25677340000004</v>
      </c>
      <c r="D622" s="1">
        <v>389.5</v>
      </c>
      <c r="E622" s="1">
        <f t="shared" si="32"/>
        <v>73.152889539136794</v>
      </c>
      <c r="F622" s="1">
        <v>1.367E-2</v>
      </c>
      <c r="G622" s="1">
        <v>419.76</v>
      </c>
      <c r="H622" s="1">
        <v>630.33000000000004</v>
      </c>
      <c r="I622" s="1">
        <v>1.6891</v>
      </c>
      <c r="J622" s="1">
        <v>2.2938999999999998</v>
      </c>
      <c r="K622" s="1">
        <v>4.0529999999999999</v>
      </c>
      <c r="L622" s="1">
        <v>3.9140000000000001</v>
      </c>
      <c r="M622" s="1">
        <v>1.97</v>
      </c>
      <c r="N622" s="1">
        <v>358</v>
      </c>
      <c r="O622" s="1">
        <v>178.2</v>
      </c>
      <c r="P622" s="1">
        <v>53.2</v>
      </c>
      <c r="Q622" s="1">
        <v>11.4</v>
      </c>
      <c r="R622" s="1">
        <v>72.2</v>
      </c>
      <c r="S622" s="1">
        <v>31.71</v>
      </c>
      <c r="T622" s="1">
        <v>1.56</v>
      </c>
      <c r="U622" s="1">
        <v>75</v>
      </c>
    </row>
    <row r="623" spans="1:21">
      <c r="A623" s="32">
        <v>80</v>
      </c>
      <c r="B623" s="1">
        <v>3.1318999999999999</v>
      </c>
      <c r="C623" s="108">
        <f t="shared" si="31"/>
        <v>454.24451220000003</v>
      </c>
      <c r="D623" s="1">
        <v>373.3</v>
      </c>
      <c r="E623" s="1">
        <f t="shared" si="32"/>
        <v>84.388185654008439</v>
      </c>
      <c r="F623" s="1">
        <v>1.1849999999999999E-2</v>
      </c>
      <c r="G623" s="1">
        <v>438.93</v>
      </c>
      <c r="H623" s="1">
        <v>628.73</v>
      </c>
      <c r="I623" s="1">
        <v>1.7417</v>
      </c>
      <c r="J623" s="1">
        <v>2.2791000000000001</v>
      </c>
      <c r="K623" s="1">
        <v>4.5449999999999999</v>
      </c>
      <c r="L623" s="1">
        <v>4.7069999999999999</v>
      </c>
      <c r="M623" s="1">
        <v>2.2879999999999998</v>
      </c>
      <c r="N623" s="1">
        <v>315</v>
      </c>
      <c r="O623" s="1">
        <v>171.6</v>
      </c>
      <c r="P623" s="1">
        <v>48.8</v>
      </c>
      <c r="Q623" s="1">
        <v>12.07</v>
      </c>
      <c r="R623" s="1">
        <v>70.2</v>
      </c>
      <c r="S623" s="1">
        <v>34.75</v>
      </c>
      <c r="T623" s="1">
        <v>1.1200000000000001</v>
      </c>
      <c r="U623" s="1">
        <v>80</v>
      </c>
    </row>
    <row r="624" spans="1:21">
      <c r="A624" s="32">
        <v>85</v>
      </c>
      <c r="B624" s="1">
        <v>3.4361000000000002</v>
      </c>
      <c r="C624" s="108">
        <f t="shared" si="31"/>
        <v>498.36507180000007</v>
      </c>
      <c r="D624" s="1">
        <v>354</v>
      </c>
      <c r="E624" s="1">
        <f t="shared" si="32"/>
        <v>98.814229249011859</v>
      </c>
      <c r="F624" s="1">
        <v>1.0120000000000001E-2</v>
      </c>
      <c r="G624" s="1">
        <v>459.81</v>
      </c>
      <c r="H624" s="1">
        <v>624.75</v>
      </c>
      <c r="I624" s="1">
        <v>1.798</v>
      </c>
      <c r="J624" s="1">
        <v>2.2585999999999999</v>
      </c>
      <c r="K624" s="1">
        <v>5.4329999999999998</v>
      </c>
      <c r="L624" s="1">
        <v>6.1820000000000004</v>
      </c>
      <c r="M624" s="1">
        <v>2.883</v>
      </c>
      <c r="N624" s="1">
        <v>269</v>
      </c>
      <c r="O624" s="1">
        <v>164.1</v>
      </c>
      <c r="P624" s="1">
        <v>44.1</v>
      </c>
      <c r="Q624" s="1">
        <v>12.96</v>
      </c>
      <c r="R624" s="1">
        <v>68.3</v>
      </c>
      <c r="S624" s="1">
        <v>39.130000000000003</v>
      </c>
      <c r="T624" s="1">
        <v>0.72</v>
      </c>
      <c r="U624" s="1">
        <v>85</v>
      </c>
    </row>
    <row r="625" spans="1:21">
      <c r="A625" s="32">
        <v>90</v>
      </c>
      <c r="B625" s="1">
        <v>3.7641</v>
      </c>
      <c r="C625" s="108">
        <f t="shared" si="31"/>
        <v>545.93753580000009</v>
      </c>
      <c r="D625" s="1">
        <v>328.8</v>
      </c>
      <c r="E625" s="1">
        <f t="shared" si="32"/>
        <v>119.04761904761905</v>
      </c>
      <c r="F625" s="1">
        <v>8.3999999999999995E-3</v>
      </c>
      <c r="G625" s="1">
        <v>483.71</v>
      </c>
      <c r="H625" s="1">
        <v>616.47</v>
      </c>
      <c r="I625" s="1">
        <v>1.8615999999999999</v>
      </c>
      <c r="J625" s="1">
        <v>2.2271999999999998</v>
      </c>
      <c r="K625" s="1">
        <v>7.6230000000000002</v>
      </c>
      <c r="L625" s="1">
        <v>9.8879999999999999</v>
      </c>
      <c r="M625" s="1">
        <v>4.3739999999999997</v>
      </c>
      <c r="N625" s="1">
        <v>218</v>
      </c>
      <c r="O625" s="1">
        <v>155.5</v>
      </c>
      <c r="P625" s="1">
        <v>38.799999999999997</v>
      </c>
      <c r="Q625" s="1">
        <v>14.28</v>
      </c>
      <c r="R625" s="1">
        <v>67.099999999999994</v>
      </c>
      <c r="S625" s="1">
        <v>46.66</v>
      </c>
      <c r="T625" s="1">
        <v>0.36</v>
      </c>
      <c r="U625" s="1">
        <v>90</v>
      </c>
    </row>
    <row r="626" spans="1:21">
      <c r="A626" s="32">
        <v>95</v>
      </c>
      <c r="B626" s="1">
        <v>4.1195000000000004</v>
      </c>
      <c r="C626" s="108">
        <f t="shared" si="31"/>
        <v>597.48404100000005</v>
      </c>
      <c r="D626" s="1">
        <v>286.5</v>
      </c>
      <c r="E626" s="1">
        <f t="shared" si="32"/>
        <v>156.25</v>
      </c>
      <c r="F626" s="1">
        <v>6.4000000000000003E-3</v>
      </c>
      <c r="G626" s="1">
        <v>516.33000000000004</v>
      </c>
      <c r="H626" s="1">
        <v>595.80999999999995</v>
      </c>
      <c r="I626" s="1">
        <v>1.9476</v>
      </c>
      <c r="J626" s="1">
        <v>2.1635</v>
      </c>
      <c r="K626" s="1">
        <v>23.59</v>
      </c>
      <c r="L626" s="1">
        <v>36.07</v>
      </c>
      <c r="M626" s="1">
        <v>14.62</v>
      </c>
      <c r="N626" s="1">
        <v>158</v>
      </c>
      <c r="O626" s="1">
        <v>144.1</v>
      </c>
      <c r="P626" s="1">
        <v>31.4</v>
      </c>
      <c r="Q626" s="1">
        <v>17</v>
      </c>
      <c r="R626" s="1">
        <v>73.599999999999994</v>
      </c>
      <c r="S626" s="1">
        <v>69.48</v>
      </c>
      <c r="T626" s="1">
        <v>0.06</v>
      </c>
      <c r="U626" s="1">
        <v>95</v>
      </c>
    </row>
    <row r="627" spans="1:21">
      <c r="A627" s="32">
        <v>96.74</v>
      </c>
      <c r="B627" s="1">
        <v>4.2511999999999999</v>
      </c>
      <c r="C627" s="108">
        <f t="shared" si="31"/>
        <v>616.58554560000005</v>
      </c>
      <c r="D627" s="1">
        <v>220.5</v>
      </c>
      <c r="E627" s="1">
        <f t="shared" si="32"/>
        <v>220.26431718061676</v>
      </c>
      <c r="F627" s="1">
        <v>4.5399999999999998E-3</v>
      </c>
      <c r="G627" s="1">
        <v>555.24</v>
      </c>
      <c r="H627" s="1">
        <v>555.24</v>
      </c>
      <c r="I627" s="1">
        <v>2.0516000000000001</v>
      </c>
      <c r="J627" s="1">
        <v>2.0516000000000001</v>
      </c>
      <c r="K627" s="1" t="s">
        <v>310</v>
      </c>
      <c r="L627" s="1" t="s">
        <v>310</v>
      </c>
      <c r="M627" s="1" t="s">
        <v>310</v>
      </c>
      <c r="N627" s="1">
        <v>0</v>
      </c>
      <c r="O627" s="1">
        <v>0</v>
      </c>
      <c r="P627" s="1" t="s">
        <v>311</v>
      </c>
      <c r="Q627" s="1" t="s">
        <v>311</v>
      </c>
      <c r="R627" s="1" t="s">
        <v>310</v>
      </c>
      <c r="S627" s="1" t="s">
        <v>310</v>
      </c>
      <c r="T627" s="1">
        <v>0</v>
      </c>
      <c r="U627" s="1">
        <v>96.74</v>
      </c>
    </row>
  </sheetData>
  <pageMargins left="0.7" right="0.7" top="0.75" bottom="0.75" header="0.3" footer="0.3"/>
  <pageSetup orientation="portrait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0236A-A78E-4016-8A72-3BAF6B2638EF}">
  <sheetPr codeName="Hoja6"/>
  <dimension ref="A1:A70"/>
  <sheetViews>
    <sheetView workbookViewId="0"/>
  </sheetViews>
  <sheetFormatPr defaultColWidth="11.5546875" defaultRowHeight="14.4"/>
  <sheetData>
    <row r="1" spans="1:1">
      <c r="A1" t="s">
        <v>279</v>
      </c>
    </row>
    <row r="2" spans="1:1">
      <c r="A2" t="s">
        <v>280</v>
      </c>
    </row>
    <row r="3" spans="1:1">
      <c r="A3" t="s">
        <v>281</v>
      </c>
    </row>
    <row r="4" spans="1:1">
      <c r="A4" t="s">
        <v>282</v>
      </c>
    </row>
    <row r="5" spans="1:1">
      <c r="A5" t="s">
        <v>283</v>
      </c>
    </row>
    <row r="6" spans="1:1">
      <c r="A6" t="s">
        <v>284</v>
      </c>
    </row>
    <row r="7" spans="1:1">
      <c r="A7" t="s">
        <v>285</v>
      </c>
    </row>
    <row r="8" spans="1:1">
      <c r="A8" t="s">
        <v>286</v>
      </c>
    </row>
    <row r="9" spans="1:1">
      <c r="A9" t="s">
        <v>287</v>
      </c>
    </row>
    <row r="10" spans="1:1">
      <c r="A10" t="s">
        <v>288</v>
      </c>
    </row>
    <row r="11" spans="1:1">
      <c r="A11" t="s">
        <v>526</v>
      </c>
    </row>
    <row r="12" spans="1:1">
      <c r="A12" t="s">
        <v>290</v>
      </c>
    </row>
    <row r="13" spans="1:1">
      <c r="A13" t="s">
        <v>291</v>
      </c>
    </row>
    <row r="14" spans="1:1">
      <c r="A14" t="s">
        <v>292</v>
      </c>
    </row>
    <row r="15" spans="1:1">
      <c r="A15" t="s">
        <v>293</v>
      </c>
    </row>
    <row r="16" spans="1:1">
      <c r="A16" t="s">
        <v>294</v>
      </c>
    </row>
    <row r="17" spans="1:1">
      <c r="A17" t="s">
        <v>295</v>
      </c>
    </row>
    <row r="18" spans="1:1">
      <c r="A18">
        <v>-28</v>
      </c>
    </row>
    <row r="19" spans="1:1">
      <c r="A19" t="s">
        <v>297</v>
      </c>
    </row>
    <row r="20" spans="1:1">
      <c r="A20" t="s">
        <v>298</v>
      </c>
    </row>
    <row r="21" spans="1:1">
      <c r="A21" t="s">
        <v>299</v>
      </c>
    </row>
    <row r="22" spans="1:1">
      <c r="A22" t="s">
        <v>300</v>
      </c>
    </row>
    <row r="23" spans="1:1">
      <c r="A23" t="s">
        <v>301</v>
      </c>
    </row>
    <row r="24" spans="1:1">
      <c r="A24" t="s">
        <v>302</v>
      </c>
    </row>
    <row r="25" spans="1:1">
      <c r="A25" t="s">
        <v>303</v>
      </c>
    </row>
    <row r="26" spans="1:1">
      <c r="A26" t="s">
        <v>304</v>
      </c>
    </row>
    <row r="27" spans="1:1">
      <c r="A27" t="s">
        <v>305</v>
      </c>
    </row>
    <row r="28" spans="1:1">
      <c r="A28" t="s">
        <v>306</v>
      </c>
    </row>
    <row r="29" spans="1:1">
      <c r="A29" t="s">
        <v>307</v>
      </c>
    </row>
    <row r="30" spans="1:1">
      <c r="A30" t="s">
        <v>308</v>
      </c>
    </row>
    <row r="31" spans="1:1">
      <c r="A31" t="s">
        <v>309</v>
      </c>
    </row>
    <row r="32" spans="1:1">
      <c r="A32">
        <v>0</v>
      </c>
    </row>
    <row r="33" spans="1:1">
      <c r="A33">
        <v>2</v>
      </c>
    </row>
    <row r="34" spans="1:1">
      <c r="A34">
        <v>4</v>
      </c>
    </row>
    <row r="35" spans="1:1">
      <c r="A35">
        <v>6</v>
      </c>
    </row>
    <row r="36" spans="1:1">
      <c r="A36">
        <v>8</v>
      </c>
    </row>
    <row r="37" spans="1:1">
      <c r="A37">
        <v>10</v>
      </c>
    </row>
    <row r="38" spans="1:1">
      <c r="A38">
        <v>12</v>
      </c>
    </row>
    <row r="39" spans="1:1">
      <c r="A39">
        <v>14</v>
      </c>
    </row>
    <row r="40" spans="1:1">
      <c r="A40">
        <v>16</v>
      </c>
    </row>
    <row r="41" spans="1:1">
      <c r="A41">
        <v>18</v>
      </c>
    </row>
    <row r="42" spans="1:1">
      <c r="A42">
        <v>20</v>
      </c>
    </row>
    <row r="43" spans="1:1">
      <c r="A43">
        <v>22</v>
      </c>
    </row>
    <row r="44" spans="1:1">
      <c r="A44">
        <v>24</v>
      </c>
    </row>
    <row r="45" spans="1:1">
      <c r="A45">
        <v>26</v>
      </c>
    </row>
    <row r="46" spans="1:1">
      <c r="A46">
        <v>28</v>
      </c>
    </row>
    <row r="47" spans="1:1">
      <c r="A47">
        <v>30</v>
      </c>
    </row>
    <row r="48" spans="1:1">
      <c r="A48">
        <v>32</v>
      </c>
    </row>
    <row r="49" spans="1:1">
      <c r="A49">
        <v>34</v>
      </c>
    </row>
    <row r="50" spans="1:1">
      <c r="A50">
        <v>36</v>
      </c>
    </row>
    <row r="51" spans="1:1">
      <c r="A51">
        <v>38</v>
      </c>
    </row>
    <row r="52" spans="1:1">
      <c r="A52">
        <v>40</v>
      </c>
    </row>
    <row r="53" spans="1:1">
      <c r="A53">
        <v>42</v>
      </c>
    </row>
    <row r="54" spans="1:1">
      <c r="A54">
        <v>44</v>
      </c>
    </row>
    <row r="55" spans="1:1">
      <c r="A55">
        <v>46</v>
      </c>
    </row>
    <row r="56" spans="1:1">
      <c r="A56">
        <v>48</v>
      </c>
    </row>
    <row r="57" spans="1:1">
      <c r="A57">
        <v>50</v>
      </c>
    </row>
    <row r="58" spans="1:1">
      <c r="A58">
        <v>52</v>
      </c>
    </row>
    <row r="59" spans="1:1">
      <c r="A59">
        <v>54</v>
      </c>
    </row>
    <row r="60" spans="1:1">
      <c r="A60">
        <v>56</v>
      </c>
    </row>
    <row r="61" spans="1:1">
      <c r="A61">
        <v>58</v>
      </c>
    </row>
    <row r="62" spans="1:1">
      <c r="A62">
        <v>60</v>
      </c>
    </row>
    <row r="63" spans="1:1">
      <c r="A63">
        <v>65</v>
      </c>
    </row>
    <row r="64" spans="1:1">
      <c r="A64">
        <v>70</v>
      </c>
    </row>
    <row r="65" spans="1:1">
      <c r="A65">
        <v>75</v>
      </c>
    </row>
    <row r="66" spans="1:1">
      <c r="A66">
        <v>80</v>
      </c>
    </row>
    <row r="67" spans="1:1">
      <c r="A67">
        <v>85</v>
      </c>
    </row>
    <row r="68" spans="1:1">
      <c r="A68">
        <v>90</v>
      </c>
    </row>
    <row r="69" spans="1:1">
      <c r="A69">
        <v>95</v>
      </c>
    </row>
    <row r="70" spans="1:1">
      <c r="A70">
        <v>96.15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83F31-AADD-4E5F-8637-45E1F30F91AD}">
  <sheetPr codeName="Hoja5"/>
  <dimension ref="B2:K62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I18" sqref="I18"/>
    </sheetView>
  </sheetViews>
  <sheetFormatPr defaultColWidth="11.5546875" defaultRowHeight="14.4"/>
  <cols>
    <col min="1" max="1" width="8" bestFit="1" customWidth="1"/>
    <col min="2" max="2" width="24.77734375" bestFit="1" customWidth="1"/>
    <col min="3" max="3" width="17.77734375" customWidth="1"/>
    <col min="4" max="4" width="12.44140625" style="1" customWidth="1"/>
    <col min="5" max="5" width="15.5546875" style="1" customWidth="1"/>
    <col min="6" max="6" width="15" style="1" customWidth="1"/>
    <col min="7" max="7" width="18.21875" style="1" customWidth="1"/>
    <col min="8" max="8" width="11.77734375" style="1" customWidth="1"/>
    <col min="9" max="9" width="14.77734375" style="1" customWidth="1"/>
    <col min="10" max="11" width="13.5546875" bestFit="1" customWidth="1"/>
  </cols>
  <sheetData>
    <row r="2" spans="2:11">
      <c r="F2" s="136"/>
      <c r="G2" s="136"/>
    </row>
    <row r="3" spans="2:11">
      <c r="F3" s="136"/>
      <c r="G3" s="136"/>
    </row>
    <row r="4" spans="2:11">
      <c r="D4"/>
      <c r="E4"/>
      <c r="F4" s="136"/>
      <c r="G4" s="136"/>
    </row>
    <row r="5" spans="2:11">
      <c r="B5" s="141" t="s">
        <v>478</v>
      </c>
      <c r="C5" s="135" t="s">
        <v>479</v>
      </c>
      <c r="D5" s="1" t="s">
        <v>498</v>
      </c>
      <c r="E5" s="1" t="s">
        <v>516</v>
      </c>
      <c r="F5" s="1" t="s">
        <v>512</v>
      </c>
      <c r="G5" s="1" t="s">
        <v>520</v>
      </c>
      <c r="H5" s="1" t="s">
        <v>513</v>
      </c>
      <c r="I5" s="1" t="s">
        <v>521</v>
      </c>
      <c r="J5" s="1" t="s">
        <v>524</v>
      </c>
      <c r="K5" s="1" t="s">
        <v>525</v>
      </c>
    </row>
    <row r="6" spans="2:11">
      <c r="B6" s="123" t="s">
        <v>481</v>
      </c>
      <c r="C6" s="12" t="s">
        <v>490</v>
      </c>
      <c r="E6" s="1">
        <v>674</v>
      </c>
      <c r="F6" s="136"/>
      <c r="G6" s="136">
        <f>1775/3.412</f>
        <v>520.22274325908563</v>
      </c>
      <c r="I6" s="1">
        <v>736</v>
      </c>
      <c r="J6" s="1"/>
      <c r="K6" s="1">
        <v>674</v>
      </c>
    </row>
    <row r="7" spans="2:11">
      <c r="B7" s="123" t="s">
        <v>481</v>
      </c>
      <c r="C7" s="12" t="s">
        <v>491</v>
      </c>
      <c r="E7" s="1">
        <v>674</v>
      </c>
      <c r="F7" s="136"/>
      <c r="G7" s="136"/>
      <c r="J7" s="1"/>
      <c r="K7" s="1">
        <v>674</v>
      </c>
    </row>
    <row r="8" spans="2:11">
      <c r="B8" s="123" t="s">
        <v>481</v>
      </c>
      <c r="C8" s="12" t="s">
        <v>489</v>
      </c>
      <c r="E8" s="1">
        <v>674</v>
      </c>
      <c r="F8" s="136"/>
      <c r="G8" s="136"/>
      <c r="I8" s="1">
        <v>763</v>
      </c>
      <c r="J8" s="1"/>
      <c r="K8" s="1">
        <v>674</v>
      </c>
    </row>
    <row r="9" spans="2:11">
      <c r="B9" s="123" t="s">
        <v>482</v>
      </c>
      <c r="C9" s="12" t="s">
        <v>490</v>
      </c>
      <c r="G9" s="136"/>
      <c r="J9" s="1"/>
      <c r="K9" s="33">
        <f>G11*(K6/G6)</f>
        <v>518.23954929577462</v>
      </c>
    </row>
    <row r="10" spans="2:11">
      <c r="B10" s="123" t="s">
        <v>482</v>
      </c>
      <c r="C10" s="12" t="s">
        <v>491</v>
      </c>
      <c r="F10" s="136"/>
      <c r="G10" s="136"/>
      <c r="J10" s="1"/>
      <c r="K10" s="33">
        <v>518.23954929577462</v>
      </c>
    </row>
    <row r="11" spans="2:11">
      <c r="B11" s="123" t="s">
        <v>482</v>
      </c>
      <c r="C11" s="12" t="s">
        <v>489</v>
      </c>
      <c r="F11" s="136"/>
      <c r="G11" s="136">
        <v>400</v>
      </c>
      <c r="J11" s="1"/>
      <c r="K11" s="33">
        <v>518.23954929577462</v>
      </c>
    </row>
    <row r="12" spans="2:11">
      <c r="B12" s="123" t="s">
        <v>483</v>
      </c>
      <c r="C12" s="12" t="s">
        <v>490</v>
      </c>
      <c r="F12" s="136"/>
      <c r="G12" s="136"/>
      <c r="J12" s="1"/>
      <c r="K12" s="105">
        <v>755</v>
      </c>
    </row>
    <row r="13" spans="2:11">
      <c r="B13" s="123" t="s">
        <v>483</v>
      </c>
      <c r="C13" s="12" t="s">
        <v>491</v>
      </c>
      <c r="F13" s="136"/>
      <c r="G13" s="136"/>
      <c r="J13" s="1"/>
      <c r="K13" s="105">
        <v>755</v>
      </c>
    </row>
    <row r="14" spans="2:11">
      <c r="B14" s="123" t="s">
        <v>483</v>
      </c>
      <c r="C14" s="12" t="s">
        <v>489</v>
      </c>
      <c r="F14" s="136"/>
      <c r="G14" s="136"/>
      <c r="J14" s="1"/>
      <c r="K14" s="105">
        <v>755</v>
      </c>
    </row>
    <row r="15" spans="2:11">
      <c r="B15" s="123" t="s">
        <v>484</v>
      </c>
      <c r="C15" s="12" t="s">
        <v>490</v>
      </c>
      <c r="F15" s="136"/>
      <c r="G15" s="136"/>
      <c r="J15" s="1"/>
      <c r="K15" s="1">
        <v>180</v>
      </c>
    </row>
    <row r="16" spans="2:11">
      <c r="B16" s="123" t="s">
        <v>484</v>
      </c>
      <c r="C16" s="12" t="s">
        <v>491</v>
      </c>
      <c r="E16" s="1">
        <v>180</v>
      </c>
      <c r="F16" s="136"/>
      <c r="G16" s="136"/>
      <c r="J16" s="1"/>
      <c r="K16" s="1">
        <v>180</v>
      </c>
    </row>
    <row r="17" spans="2:11">
      <c r="B17" s="123" t="s">
        <v>484</v>
      </c>
      <c r="C17" s="12" t="s">
        <v>489</v>
      </c>
      <c r="F17" s="136"/>
      <c r="G17" s="136"/>
      <c r="J17" s="1"/>
      <c r="K17" s="1">
        <v>180</v>
      </c>
    </row>
    <row r="18" spans="2:11">
      <c r="B18" s="123" t="s">
        <v>522</v>
      </c>
      <c r="C18" s="12" t="s">
        <v>490</v>
      </c>
      <c r="D18" s="1">
        <v>356</v>
      </c>
      <c r="F18" s="136"/>
      <c r="G18" s="136"/>
      <c r="J18" s="1"/>
      <c r="K18" s="1">
        <v>389</v>
      </c>
    </row>
    <row r="19" spans="2:11">
      <c r="B19" s="123" t="s">
        <v>522</v>
      </c>
      <c r="C19" s="12" t="s">
        <v>491</v>
      </c>
      <c r="D19" s="139">
        <v>356</v>
      </c>
      <c r="F19" s="136"/>
      <c r="G19" s="33">
        <f>(550*3.28)/3.412</f>
        <v>528.72215709261434</v>
      </c>
      <c r="H19" s="139">
        <v>389</v>
      </c>
      <c r="J19" s="1"/>
      <c r="K19" s="1">
        <v>389</v>
      </c>
    </row>
    <row r="20" spans="2:11">
      <c r="B20" s="123" t="s">
        <v>522</v>
      </c>
      <c r="C20" s="12" t="s">
        <v>489</v>
      </c>
      <c r="D20" s="139">
        <v>356</v>
      </c>
      <c r="F20" s="136"/>
      <c r="G20" s="136"/>
      <c r="J20" s="1"/>
      <c r="K20" s="1">
        <v>389</v>
      </c>
    </row>
    <row r="21" spans="2:11">
      <c r="B21" s="123" t="s">
        <v>523</v>
      </c>
      <c r="C21" s="12" t="s">
        <v>490</v>
      </c>
      <c r="D21" s="139"/>
      <c r="F21" s="136"/>
      <c r="G21" s="136"/>
      <c r="H21" s="1">
        <v>920</v>
      </c>
      <c r="J21" s="1"/>
      <c r="K21" s="105">
        <v>900</v>
      </c>
    </row>
    <row r="22" spans="2:11">
      <c r="B22" s="123" t="s">
        <v>523</v>
      </c>
      <c r="C22" s="12" t="s">
        <v>491</v>
      </c>
      <c r="D22" s="139"/>
      <c r="F22" s="136"/>
      <c r="G22" s="136"/>
      <c r="J22" s="1"/>
      <c r="K22" s="105">
        <v>900</v>
      </c>
    </row>
    <row r="23" spans="2:11">
      <c r="B23" s="123" t="s">
        <v>523</v>
      </c>
      <c r="C23" s="12" t="s">
        <v>489</v>
      </c>
      <c r="D23" s="139"/>
      <c r="F23" s="136"/>
      <c r="G23" s="136"/>
      <c r="J23" s="1"/>
      <c r="K23" s="105">
        <v>900</v>
      </c>
    </row>
    <row r="24" spans="2:11">
      <c r="B24" s="123" t="s">
        <v>486</v>
      </c>
      <c r="C24" s="12" t="s">
        <v>489</v>
      </c>
      <c r="F24" s="136"/>
      <c r="G24" s="136"/>
      <c r="J24" s="1"/>
      <c r="K24" s="1"/>
    </row>
    <row r="25" spans="2:11">
      <c r="B25" s="123" t="s">
        <v>487</v>
      </c>
      <c r="C25" s="12" t="s">
        <v>489</v>
      </c>
      <c r="F25" s="136"/>
      <c r="G25" s="136"/>
      <c r="H25" s="136"/>
      <c r="J25" s="1"/>
      <c r="K25" s="1"/>
    </row>
    <row r="26" spans="2:11">
      <c r="B26" s="123" t="s">
        <v>488</v>
      </c>
      <c r="C26" s="12" t="s">
        <v>490</v>
      </c>
      <c r="G26" s="136"/>
      <c r="J26" s="1"/>
      <c r="K26" s="1"/>
    </row>
    <row r="27" spans="2:11">
      <c r="B27" s="123" t="s">
        <v>488</v>
      </c>
      <c r="C27" s="12" t="s">
        <v>491</v>
      </c>
      <c r="E27" s="1">
        <v>171</v>
      </c>
      <c r="G27" s="136"/>
      <c r="J27" s="1"/>
      <c r="K27" s="1"/>
    </row>
    <row r="28" spans="2:11" ht="15" thickBot="1">
      <c r="B28" s="123" t="s">
        <v>488</v>
      </c>
      <c r="C28" s="12" t="s">
        <v>489</v>
      </c>
      <c r="E28" s="1">
        <v>144</v>
      </c>
      <c r="F28" s="136"/>
      <c r="G28" s="136"/>
      <c r="H28" s="132"/>
      <c r="J28" s="1"/>
      <c r="K28" s="1"/>
    </row>
    <row r="29" spans="2:11">
      <c r="B29" s="142" t="s">
        <v>499</v>
      </c>
      <c r="C29" s="134" t="s">
        <v>504</v>
      </c>
      <c r="D29" s="130"/>
      <c r="E29" s="131">
        <v>686</v>
      </c>
      <c r="F29" s="138"/>
      <c r="G29" s="140">
        <f>(890*3.28)/3.412</f>
        <v>855.56858147713945</v>
      </c>
      <c r="I29" s="131">
        <v>733</v>
      </c>
      <c r="J29" s="1"/>
      <c r="K29" s="33">
        <f>AVERAGE(Tabla14[[#This Row],[ARNEG_P]:[PRIME_P]])</f>
        <v>758.18952715904652</v>
      </c>
    </row>
    <row r="30" spans="2:11">
      <c r="B30" s="142" t="s">
        <v>499</v>
      </c>
      <c r="C30" s="134" t="s">
        <v>505</v>
      </c>
      <c r="D30" s="129"/>
      <c r="E30" s="1">
        <v>527</v>
      </c>
      <c r="F30" s="136">
        <f>(1485*3.28)/3.412</f>
        <v>1427.5498241500584</v>
      </c>
      <c r="G30" s="33">
        <f t="shared" ref="G30:G35" si="0">(890*3.28)/3.412</f>
        <v>855.56858147713945</v>
      </c>
      <c r="I30" s="1">
        <v>573</v>
      </c>
      <c r="J30" s="1"/>
      <c r="K30" s="33">
        <f>AVERAGE(E30,G30,I30)</f>
        <v>651.85619382571315</v>
      </c>
    </row>
    <row r="31" spans="2:11">
      <c r="B31" s="142" t="s">
        <v>499</v>
      </c>
      <c r="C31" s="134" t="s">
        <v>506</v>
      </c>
      <c r="D31" s="129">
        <v>1181</v>
      </c>
      <c r="F31" s="136">
        <f>(1540*3.28)/3.412</f>
        <v>1480.42203985932</v>
      </c>
      <c r="G31" s="33">
        <f t="shared" si="0"/>
        <v>855.56858147713945</v>
      </c>
      <c r="H31" s="1">
        <v>1304</v>
      </c>
      <c r="J31" s="136">
        <f>AVERAGE(D31,F31,H31)</f>
        <v>1321.8073466197732</v>
      </c>
      <c r="K31" s="1"/>
    </row>
    <row r="32" spans="2:11">
      <c r="B32" s="142" t="s">
        <v>499</v>
      </c>
      <c r="C32" s="134" t="s">
        <v>507</v>
      </c>
      <c r="D32" s="129"/>
      <c r="F32" s="136"/>
      <c r="G32" s="33">
        <f t="shared" si="0"/>
        <v>855.56858147713945</v>
      </c>
      <c r="J32" s="1"/>
      <c r="K32" s="1">
        <v>652</v>
      </c>
    </row>
    <row r="33" spans="2:11">
      <c r="B33" s="142" t="s">
        <v>499</v>
      </c>
      <c r="C33" s="134" t="s">
        <v>508</v>
      </c>
      <c r="D33" s="129"/>
      <c r="F33" s="136"/>
      <c r="G33" s="33">
        <f t="shared" si="0"/>
        <v>855.56858147713945</v>
      </c>
      <c r="J33" s="1"/>
      <c r="K33" s="1">
        <v>652</v>
      </c>
    </row>
    <row r="34" spans="2:11">
      <c r="B34" s="142" t="s">
        <v>499</v>
      </c>
      <c r="C34" s="134" t="s">
        <v>509</v>
      </c>
      <c r="D34" s="129"/>
      <c r="E34" s="1">
        <v>527</v>
      </c>
      <c r="F34" s="136">
        <f>(1485*3.28)/3.412</f>
        <v>1427.5498241500584</v>
      </c>
      <c r="G34" s="33">
        <f t="shared" si="0"/>
        <v>855.56858147713945</v>
      </c>
      <c r="I34" s="1">
        <v>576</v>
      </c>
      <c r="J34" s="1"/>
      <c r="K34" s="1">
        <v>652</v>
      </c>
    </row>
    <row r="35" spans="2:11">
      <c r="B35" s="142" t="s">
        <v>499</v>
      </c>
      <c r="C35" s="134" t="s">
        <v>510</v>
      </c>
      <c r="D35" s="129"/>
      <c r="F35" s="136"/>
      <c r="G35" s="33">
        <f t="shared" si="0"/>
        <v>855.56858147713945</v>
      </c>
      <c r="J35" s="1"/>
      <c r="K35" s="1">
        <v>652</v>
      </c>
    </row>
    <row r="36" spans="2:11">
      <c r="B36" s="142" t="s">
        <v>500</v>
      </c>
      <c r="C36" s="134" t="s">
        <v>504</v>
      </c>
      <c r="D36" s="129"/>
      <c r="E36" s="1">
        <v>484</v>
      </c>
      <c r="F36" s="136">
        <v>1055</v>
      </c>
      <c r="G36" s="136"/>
      <c r="H36" s="1">
        <v>1232</v>
      </c>
      <c r="I36" s="1">
        <v>1232</v>
      </c>
      <c r="J36" s="136">
        <f>AVERAGE(H36,F36,D38)</f>
        <v>1115.6666666666667</v>
      </c>
      <c r="K36" s="33">
        <f>Tabla14[[#This Row],[ARNEG_P]]*(I30/E30)</f>
        <v>526.24667931688805</v>
      </c>
    </row>
    <row r="37" spans="2:11">
      <c r="B37" s="142" t="s">
        <v>500</v>
      </c>
      <c r="C37" s="134" t="s">
        <v>505</v>
      </c>
      <c r="D37" s="129"/>
      <c r="E37" s="1">
        <v>484</v>
      </c>
      <c r="F37" s="136"/>
      <c r="H37" s="136"/>
      <c r="I37" s="1">
        <v>1232</v>
      </c>
      <c r="J37" s="136">
        <v>1115.6666666666667</v>
      </c>
      <c r="K37" s="33">
        <v>526.24667931688805</v>
      </c>
    </row>
    <row r="38" spans="2:11">
      <c r="B38" s="142" t="s">
        <v>500</v>
      </c>
      <c r="C38" s="134" t="s">
        <v>506</v>
      </c>
      <c r="D38" s="129">
        <v>1060</v>
      </c>
      <c r="F38" s="136"/>
      <c r="G38" s="136"/>
      <c r="J38" s="136">
        <v>1115.6666666666667</v>
      </c>
      <c r="K38" s="33">
        <v>526.24667931688805</v>
      </c>
    </row>
    <row r="39" spans="2:11">
      <c r="B39" s="142" t="s">
        <v>500</v>
      </c>
      <c r="C39" s="134" t="s">
        <v>507</v>
      </c>
      <c r="D39" s="129">
        <v>1060</v>
      </c>
      <c r="F39" s="136"/>
      <c r="G39" s="136"/>
      <c r="H39" s="1">
        <v>1232</v>
      </c>
      <c r="I39" s="1">
        <v>1232</v>
      </c>
      <c r="J39" s="136">
        <v>1115.6666666666667</v>
      </c>
      <c r="K39" s="33">
        <v>526.24667931688805</v>
      </c>
    </row>
    <row r="40" spans="2:11">
      <c r="B40" s="142" t="s">
        <v>500</v>
      </c>
      <c r="C40" s="134" t="s">
        <v>508</v>
      </c>
      <c r="D40" s="129"/>
      <c r="F40" s="136"/>
      <c r="G40" s="136"/>
      <c r="J40" s="136">
        <v>1115.6666666666667</v>
      </c>
      <c r="K40" s="33">
        <v>526.24667931688805</v>
      </c>
    </row>
    <row r="41" spans="2:11">
      <c r="B41" s="142" t="s">
        <v>500</v>
      </c>
      <c r="C41" s="134" t="s">
        <v>509</v>
      </c>
      <c r="D41" s="129"/>
      <c r="F41" s="136"/>
      <c r="G41" s="136"/>
      <c r="H41" s="1">
        <v>1232</v>
      </c>
      <c r="J41" s="136">
        <v>1115.6666666666667</v>
      </c>
      <c r="K41" s="33">
        <v>526.24667931688805</v>
      </c>
    </row>
    <row r="42" spans="2:11">
      <c r="B42" s="142" t="s">
        <v>500</v>
      </c>
      <c r="C42" s="134" t="s">
        <v>510</v>
      </c>
      <c r="D42" s="129"/>
      <c r="F42" s="136"/>
      <c r="G42" s="136"/>
      <c r="J42" s="136">
        <v>1115.6666666666667</v>
      </c>
      <c r="K42" s="33">
        <v>526.24667931688805</v>
      </c>
    </row>
    <row r="43" spans="2:11">
      <c r="B43" s="142" t="s">
        <v>518</v>
      </c>
      <c r="C43" s="134" t="s">
        <v>507</v>
      </c>
      <c r="D43" s="129">
        <v>868</v>
      </c>
      <c r="F43" s="136">
        <f>(1150*3.28)/3.412</f>
        <v>1105.5099648300118</v>
      </c>
      <c r="G43" s="136"/>
      <c r="H43" s="1">
        <v>964</v>
      </c>
      <c r="J43" s="136">
        <f>AVERAGE(D43,F43,H43)</f>
        <v>979.16998827667067</v>
      </c>
      <c r="K43" s="1"/>
    </row>
    <row r="44" spans="2:11">
      <c r="B44" s="142" t="s">
        <v>518</v>
      </c>
      <c r="C44" s="134" t="s">
        <v>509</v>
      </c>
      <c r="D44" s="129"/>
      <c r="F44" s="136"/>
      <c r="G44" s="136"/>
      <c r="J44" s="1"/>
      <c r="K44" s="1"/>
    </row>
    <row r="45" spans="2:11">
      <c r="B45" s="142" t="s">
        <v>518</v>
      </c>
      <c r="C45" s="134" t="s">
        <v>519</v>
      </c>
      <c r="D45" s="129"/>
      <c r="F45" s="136"/>
      <c r="G45" s="136"/>
      <c r="J45" s="1"/>
      <c r="K45" s="1"/>
    </row>
    <row r="46" spans="2:11">
      <c r="B46" s="142" t="s">
        <v>501</v>
      </c>
      <c r="C46" s="134" t="s">
        <v>504</v>
      </c>
      <c r="D46" s="129">
        <v>270</v>
      </c>
      <c r="G46" s="136"/>
      <c r="J46" s="1">
        <v>270</v>
      </c>
      <c r="K46" s="1"/>
    </row>
    <row r="47" spans="2:11">
      <c r="B47" s="142" t="s">
        <v>501</v>
      </c>
      <c r="C47" s="134" t="s">
        <v>507</v>
      </c>
      <c r="D47" s="129"/>
      <c r="F47" s="33">
        <f>(550*3.28)/3.412</f>
        <v>528.72215709261434</v>
      </c>
      <c r="G47" s="136"/>
      <c r="H47" s="1">
        <v>400</v>
      </c>
      <c r="J47" s="1"/>
      <c r="K47" s="33">
        <f>AVERAGE(F47,H47)</f>
        <v>464.36107854630717</v>
      </c>
    </row>
    <row r="48" spans="2:11">
      <c r="B48" s="142" t="s">
        <v>501</v>
      </c>
      <c r="C48" s="134" t="s">
        <v>508</v>
      </c>
      <c r="D48" s="129"/>
      <c r="E48" s="1">
        <v>240</v>
      </c>
      <c r="F48" s="136"/>
      <c r="G48" s="136"/>
      <c r="H48" s="1">
        <v>390</v>
      </c>
      <c r="J48" s="1"/>
      <c r="K48" s="1"/>
    </row>
    <row r="49" spans="2:11">
      <c r="B49" s="142" t="s">
        <v>501</v>
      </c>
      <c r="C49" s="134" t="s">
        <v>517</v>
      </c>
      <c r="D49" s="129">
        <v>240</v>
      </c>
      <c r="F49" s="33">
        <f>(550*3.28)/3.412</f>
        <v>528.72215709261434</v>
      </c>
      <c r="G49" s="136"/>
      <c r="H49" s="1">
        <v>400</v>
      </c>
      <c r="J49" s="1"/>
      <c r="K49" s="1"/>
    </row>
    <row r="50" spans="2:11">
      <c r="B50" s="142" t="s">
        <v>502</v>
      </c>
      <c r="C50" s="134" t="s">
        <v>504</v>
      </c>
      <c r="D50" s="129">
        <v>288</v>
      </c>
      <c r="J50" s="1"/>
      <c r="K50" s="1"/>
    </row>
    <row r="51" spans="2:11">
      <c r="B51" s="142" t="s">
        <v>502</v>
      </c>
      <c r="C51" s="134" t="s">
        <v>507</v>
      </c>
      <c r="D51" s="129">
        <v>256</v>
      </c>
      <c r="J51" s="1"/>
      <c r="K51" s="1"/>
    </row>
    <row r="52" spans="2:11">
      <c r="B52" s="142" t="s">
        <v>502</v>
      </c>
      <c r="C52" s="134" t="s">
        <v>508</v>
      </c>
      <c r="D52" s="129"/>
      <c r="J52" s="1"/>
      <c r="K52" s="1"/>
    </row>
    <row r="53" spans="2:11">
      <c r="B53" s="142" t="s">
        <v>502</v>
      </c>
      <c r="C53" s="134" t="s">
        <v>509</v>
      </c>
      <c r="D53" s="129"/>
      <c r="J53" s="1"/>
      <c r="K53" s="1"/>
    </row>
    <row r="54" spans="2:11">
      <c r="B54" s="142" t="s">
        <v>502</v>
      </c>
      <c r="C54" s="134" t="s">
        <v>510</v>
      </c>
      <c r="D54" s="129"/>
      <c r="J54" s="1"/>
      <c r="K54" s="1"/>
    </row>
    <row r="55" spans="2:11">
      <c r="B55" s="142" t="s">
        <v>503</v>
      </c>
      <c r="C55" s="134" t="s">
        <v>504</v>
      </c>
      <c r="D55" s="129">
        <v>800</v>
      </c>
      <c r="F55" s="33">
        <f>(730*3.28)/3.412</f>
        <v>701.75849941383342</v>
      </c>
      <c r="J55" s="1"/>
      <c r="K55" s="33">
        <f>AVERAGE(Tabla14[[#This Row],[ARNEG]],Tabla14[[#This Row],[WESTON ]])</f>
        <v>750.87924970691665</v>
      </c>
    </row>
    <row r="56" spans="2:11">
      <c r="B56" s="142" t="s">
        <v>503</v>
      </c>
      <c r="C56" s="134" t="s">
        <v>507</v>
      </c>
      <c r="D56" s="129">
        <v>800</v>
      </c>
      <c r="J56" s="1"/>
      <c r="K56" s="1"/>
    </row>
    <row r="57" spans="2:11">
      <c r="B57" s="142" t="s">
        <v>511</v>
      </c>
      <c r="C57" s="134" t="s">
        <v>504</v>
      </c>
      <c r="D57" s="129"/>
      <c r="J57" s="1"/>
      <c r="K57" s="1"/>
    </row>
    <row r="58" spans="2:11">
      <c r="B58" s="142" t="s">
        <v>514</v>
      </c>
      <c r="C58" s="134" t="s">
        <v>504</v>
      </c>
      <c r="D58" s="129">
        <v>168</v>
      </c>
      <c r="J58" s="1"/>
      <c r="K58" s="1"/>
    </row>
    <row r="59" spans="2:11">
      <c r="B59" s="142" t="s">
        <v>514</v>
      </c>
      <c r="C59" s="134" t="s">
        <v>505</v>
      </c>
      <c r="D59" s="129">
        <v>178</v>
      </c>
      <c r="J59" s="1"/>
      <c r="K59" s="1"/>
    </row>
    <row r="60" spans="2:11">
      <c r="B60" s="142" t="s">
        <v>514</v>
      </c>
      <c r="C60" s="134" t="s">
        <v>506</v>
      </c>
      <c r="D60" s="129">
        <v>133</v>
      </c>
      <c r="J60" s="1"/>
      <c r="K60" s="1"/>
    </row>
    <row r="61" spans="2:11">
      <c r="B61" s="142" t="s">
        <v>514</v>
      </c>
      <c r="C61" s="137" t="s">
        <v>515</v>
      </c>
      <c r="D61" s="129"/>
      <c r="J61" s="1"/>
      <c r="K61" s="1"/>
    </row>
    <row r="62" spans="2:11" ht="15" thickBot="1">
      <c r="B62" s="143" t="s">
        <v>514</v>
      </c>
      <c r="C62" s="137" t="s">
        <v>517</v>
      </c>
      <c r="D62" s="133">
        <v>200</v>
      </c>
      <c r="E62" s="132"/>
      <c r="F62" s="132"/>
      <c r="G62" s="132"/>
      <c r="H62" s="132"/>
      <c r="I62" s="132"/>
      <c r="J62" s="1"/>
      <c r="K6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6D19-2C8F-4997-B204-64C5FD69D0E6}">
  <sheetPr codeName="Hoja2"/>
  <dimension ref="A2:W578"/>
  <sheetViews>
    <sheetView zoomScale="70" zoomScaleNormal="70" workbookViewId="0">
      <selection activeCell="I378" sqref="I378"/>
    </sheetView>
  </sheetViews>
  <sheetFormatPr defaultColWidth="11.5546875" defaultRowHeight="14.4"/>
  <cols>
    <col min="2" max="22" width="11.44140625" style="1"/>
  </cols>
  <sheetData>
    <row r="2" spans="1:22" ht="43.2">
      <c r="A2" t="s">
        <v>268</v>
      </c>
      <c r="B2" s="107" t="s">
        <v>312</v>
      </c>
      <c r="C2" s="106" t="s">
        <v>313</v>
      </c>
      <c r="D2" s="106" t="s">
        <v>331</v>
      </c>
      <c r="E2" s="106" t="s">
        <v>314</v>
      </c>
      <c r="F2" s="106" t="s">
        <v>315</v>
      </c>
      <c r="G2" s="106" t="s">
        <v>332</v>
      </c>
      <c r="H2" s="106" t="s">
        <v>316</v>
      </c>
      <c r="I2" s="106" t="s">
        <v>317</v>
      </c>
      <c r="J2" s="106" t="s">
        <v>318</v>
      </c>
      <c r="K2" s="106" t="s">
        <v>319</v>
      </c>
      <c r="L2" s="106" t="s">
        <v>320</v>
      </c>
      <c r="M2" s="106" t="s">
        <v>321</v>
      </c>
      <c r="N2" s="107" t="s">
        <v>322</v>
      </c>
      <c r="O2" s="106" t="s">
        <v>323</v>
      </c>
      <c r="P2" s="106" t="s">
        <v>324</v>
      </c>
      <c r="Q2" s="106" t="s">
        <v>325</v>
      </c>
      <c r="R2" s="106" t="s">
        <v>326</v>
      </c>
      <c r="S2" s="106" t="s">
        <v>327</v>
      </c>
      <c r="T2" s="106" t="s">
        <v>328</v>
      </c>
      <c r="U2" s="106" t="s">
        <v>329</v>
      </c>
      <c r="V2" s="107" t="s">
        <v>312</v>
      </c>
    </row>
    <row r="3" spans="1:22">
      <c r="B3" s="1" t="s">
        <v>279</v>
      </c>
      <c r="C3" s="1">
        <v>2.0100000000000001E-3</v>
      </c>
      <c r="D3" s="108">
        <f t="shared" ref="D3:D34" si="0">C3*145.038</f>
        <v>0.29152638000000003</v>
      </c>
      <c r="E3" s="1">
        <v>1571.3</v>
      </c>
      <c r="F3" s="1">
        <f t="shared" ref="F3:F34" si="1">1/G3</f>
        <v>0.12097749818533753</v>
      </c>
      <c r="G3" s="1">
        <v>8.266</v>
      </c>
      <c r="H3" s="1">
        <v>90.71</v>
      </c>
      <c r="I3" s="1">
        <v>358.97</v>
      </c>
      <c r="J3" s="1">
        <v>0.505</v>
      </c>
      <c r="K3" s="1">
        <v>2.0543</v>
      </c>
      <c r="L3" s="1">
        <v>1.0609999999999999</v>
      </c>
      <c r="M3" s="1">
        <v>0.497</v>
      </c>
      <c r="N3" s="1">
        <v>1.2430000000000001</v>
      </c>
      <c r="O3" s="1">
        <v>1127</v>
      </c>
      <c r="P3" s="1">
        <v>143.6</v>
      </c>
      <c r="Q3" s="1">
        <v>845.8</v>
      </c>
      <c r="R3" s="1">
        <v>7.25</v>
      </c>
      <c r="S3" s="1">
        <v>143.1</v>
      </c>
      <c r="T3" s="1">
        <v>4.46</v>
      </c>
      <c r="U3" s="1">
        <v>28.12</v>
      </c>
      <c r="V3" s="1" t="s">
        <v>279</v>
      </c>
    </row>
    <row r="4" spans="1:22">
      <c r="B4" s="1" t="s">
        <v>280</v>
      </c>
      <c r="C4" s="1">
        <v>4.81E-3</v>
      </c>
      <c r="D4" s="108">
        <f t="shared" si="0"/>
        <v>0.69763278000000006</v>
      </c>
      <c r="E4" s="1">
        <v>1544.9</v>
      </c>
      <c r="F4" s="1">
        <f t="shared" si="1"/>
        <v>0.27436347673397715</v>
      </c>
      <c r="G4" s="1">
        <v>3.6448</v>
      </c>
      <c r="H4" s="1">
        <v>101.32</v>
      </c>
      <c r="I4" s="1">
        <v>363.85</v>
      </c>
      <c r="J4" s="1">
        <v>0.56459999999999999</v>
      </c>
      <c r="K4" s="1">
        <v>1.998</v>
      </c>
      <c r="L4" s="1">
        <v>1.0609999999999999</v>
      </c>
      <c r="M4" s="1">
        <v>0.51200000000000001</v>
      </c>
      <c r="N4" s="1">
        <v>1.2370000000000001</v>
      </c>
      <c r="O4" s="1">
        <v>1080</v>
      </c>
      <c r="P4" s="1">
        <v>147</v>
      </c>
      <c r="Q4" s="1">
        <v>699.4</v>
      </c>
      <c r="R4" s="1">
        <v>7.67</v>
      </c>
      <c r="S4" s="1">
        <v>137.80000000000001</v>
      </c>
      <c r="T4" s="1">
        <v>4.84</v>
      </c>
      <c r="U4" s="1">
        <v>26.36</v>
      </c>
      <c r="V4" s="1" t="s">
        <v>280</v>
      </c>
    </row>
    <row r="5" spans="1:22">
      <c r="B5" s="1" t="s">
        <v>281</v>
      </c>
      <c r="C5" s="1">
        <v>1.0370000000000001E-2</v>
      </c>
      <c r="D5" s="108">
        <f t="shared" si="0"/>
        <v>1.5040440600000002</v>
      </c>
      <c r="E5" s="1">
        <v>1518.2</v>
      </c>
      <c r="F5" s="1">
        <f t="shared" si="1"/>
        <v>0.56236643797098185</v>
      </c>
      <c r="G5" s="1">
        <v>1.7782</v>
      </c>
      <c r="H5" s="1">
        <v>111.94</v>
      </c>
      <c r="I5" s="1">
        <v>368.77</v>
      </c>
      <c r="J5" s="1">
        <v>0.621</v>
      </c>
      <c r="K5" s="1">
        <v>1.9508000000000001</v>
      </c>
      <c r="L5" s="1">
        <v>1.0620000000000001</v>
      </c>
      <c r="M5" s="1">
        <v>0.52800000000000002</v>
      </c>
      <c r="N5" s="1">
        <v>1.2330000000000001</v>
      </c>
      <c r="O5" s="1">
        <v>1033</v>
      </c>
      <c r="P5" s="1">
        <v>150.30000000000001</v>
      </c>
      <c r="Q5" s="1">
        <v>591</v>
      </c>
      <c r="R5" s="1">
        <v>8.09</v>
      </c>
      <c r="S5" s="1">
        <v>132.6</v>
      </c>
      <c r="T5" s="1">
        <v>5.25</v>
      </c>
      <c r="U5" s="1">
        <v>24.63</v>
      </c>
      <c r="V5" s="1" t="s">
        <v>281</v>
      </c>
    </row>
    <row r="6" spans="1:22">
      <c r="B6" s="1" t="s">
        <v>282</v>
      </c>
      <c r="C6" s="1">
        <v>2.0469999999999999E-2</v>
      </c>
      <c r="D6" s="108">
        <f t="shared" si="0"/>
        <v>2.96892786</v>
      </c>
      <c r="E6" s="1">
        <v>1491.2</v>
      </c>
      <c r="F6" s="1">
        <f t="shared" si="1"/>
        <v>1.0599732886731255</v>
      </c>
      <c r="G6" s="1">
        <v>0.94342000000000004</v>
      </c>
      <c r="H6" s="1">
        <v>122.58</v>
      </c>
      <c r="I6" s="1">
        <v>373.7</v>
      </c>
      <c r="J6" s="1">
        <v>0.67469999999999997</v>
      </c>
      <c r="K6" s="1">
        <v>1.9108000000000001</v>
      </c>
      <c r="L6" s="1">
        <v>1.0649999999999999</v>
      </c>
      <c r="M6" s="1">
        <v>0.54500000000000004</v>
      </c>
      <c r="N6" s="1">
        <v>1.2310000000000001</v>
      </c>
      <c r="O6" s="1">
        <v>986</v>
      </c>
      <c r="P6" s="1">
        <v>153.30000000000001</v>
      </c>
      <c r="Q6" s="1">
        <v>507.6</v>
      </c>
      <c r="R6" s="1">
        <v>8.52</v>
      </c>
      <c r="S6" s="1">
        <v>127.6</v>
      </c>
      <c r="T6" s="1">
        <v>5.68</v>
      </c>
      <c r="U6" s="1">
        <v>22.92</v>
      </c>
      <c r="V6" s="1" t="s">
        <v>282</v>
      </c>
    </row>
    <row r="7" spans="1:22">
      <c r="B7" s="1" t="s">
        <v>283</v>
      </c>
      <c r="C7" s="1">
        <v>3.7499999999999999E-2</v>
      </c>
      <c r="D7" s="108">
        <f t="shared" si="0"/>
        <v>5.4389250000000002</v>
      </c>
      <c r="E7" s="1">
        <v>1463.7</v>
      </c>
      <c r="F7" s="1">
        <f t="shared" si="1"/>
        <v>1.862891207153502</v>
      </c>
      <c r="G7" s="1">
        <v>0.53680000000000005</v>
      </c>
      <c r="H7" s="1">
        <v>133.27000000000001</v>
      </c>
      <c r="I7" s="1">
        <v>378.59</v>
      </c>
      <c r="J7" s="1">
        <v>0.72599999999999998</v>
      </c>
      <c r="K7" s="1">
        <v>1.877</v>
      </c>
      <c r="L7" s="1">
        <v>1.071</v>
      </c>
      <c r="M7" s="1">
        <v>0.56399999999999995</v>
      </c>
      <c r="N7" s="1">
        <v>1.23</v>
      </c>
      <c r="O7" s="1">
        <v>940</v>
      </c>
      <c r="P7" s="1">
        <v>156</v>
      </c>
      <c r="Q7" s="1">
        <v>441.4</v>
      </c>
      <c r="R7" s="1">
        <v>8.94</v>
      </c>
      <c r="S7" s="1">
        <v>122.6</v>
      </c>
      <c r="T7" s="1">
        <v>6.12</v>
      </c>
      <c r="U7" s="1">
        <v>21.24</v>
      </c>
      <c r="V7" s="1" t="s">
        <v>283</v>
      </c>
    </row>
    <row r="8" spans="1:22">
      <c r="B8" s="1" t="s">
        <v>284</v>
      </c>
      <c r="C8" s="1">
        <v>6.4530000000000004E-2</v>
      </c>
      <c r="D8" s="108">
        <f t="shared" si="0"/>
        <v>9.3593021400000005</v>
      </c>
      <c r="E8" s="1">
        <v>1435.6</v>
      </c>
      <c r="F8" s="1">
        <f t="shared" si="1"/>
        <v>3.0878493129535278</v>
      </c>
      <c r="G8" s="1">
        <v>0.32385000000000003</v>
      </c>
      <c r="H8" s="1">
        <v>144.03</v>
      </c>
      <c r="I8" s="1">
        <v>383.42</v>
      </c>
      <c r="J8" s="1">
        <v>0.7752</v>
      </c>
      <c r="K8" s="1">
        <v>1.8480000000000001</v>
      </c>
      <c r="L8" s="1">
        <v>1.079</v>
      </c>
      <c r="M8" s="1">
        <v>0.58499999999999996</v>
      </c>
      <c r="N8" s="1">
        <v>1.232</v>
      </c>
      <c r="O8" s="1">
        <v>893</v>
      </c>
      <c r="P8" s="1">
        <v>158.30000000000001</v>
      </c>
      <c r="Q8" s="1">
        <v>387.5</v>
      </c>
      <c r="R8" s="1">
        <v>9.36</v>
      </c>
      <c r="S8" s="1">
        <v>117.8</v>
      </c>
      <c r="T8" s="1">
        <v>6.59</v>
      </c>
      <c r="U8" s="1">
        <v>19.579999999999998</v>
      </c>
      <c r="V8" s="1" t="s">
        <v>284</v>
      </c>
    </row>
    <row r="9" spans="1:22">
      <c r="B9" s="1" t="s">
        <v>285</v>
      </c>
      <c r="C9" s="1">
        <v>7.145E-2</v>
      </c>
      <c r="D9" s="108">
        <f t="shared" si="0"/>
        <v>10.3629651</v>
      </c>
      <c r="E9" s="1">
        <v>1429.9</v>
      </c>
      <c r="F9" s="1">
        <f t="shared" si="1"/>
        <v>3.3952398736970766</v>
      </c>
      <c r="G9" s="1">
        <v>0.29453000000000001</v>
      </c>
      <c r="H9" s="1">
        <v>146.19</v>
      </c>
      <c r="I9" s="1">
        <v>384.37</v>
      </c>
      <c r="J9" s="1">
        <v>0.78490000000000004</v>
      </c>
      <c r="K9" s="1">
        <v>1.8428</v>
      </c>
      <c r="L9" s="1">
        <v>1.081</v>
      </c>
      <c r="M9" s="1">
        <v>0.58899999999999997</v>
      </c>
      <c r="N9" s="1">
        <v>1.2330000000000001</v>
      </c>
      <c r="O9" s="1">
        <v>884</v>
      </c>
      <c r="P9" s="1">
        <v>158.69999999999999</v>
      </c>
      <c r="Q9" s="1">
        <v>377.8</v>
      </c>
      <c r="R9" s="1">
        <v>9.4499999999999993</v>
      </c>
      <c r="S9" s="1">
        <v>116.9</v>
      </c>
      <c r="T9" s="1">
        <v>6.69</v>
      </c>
      <c r="U9" s="1">
        <v>19.25</v>
      </c>
      <c r="V9" s="1" t="s">
        <v>285</v>
      </c>
    </row>
    <row r="10" spans="1:22">
      <c r="B10" s="1" t="s">
        <v>286</v>
      </c>
      <c r="C10" s="1">
        <v>7.8939999999999996E-2</v>
      </c>
      <c r="D10" s="108">
        <f t="shared" si="0"/>
        <v>11.449299720000001</v>
      </c>
      <c r="E10" s="1">
        <v>1424.2</v>
      </c>
      <c r="F10" s="1">
        <f t="shared" si="1"/>
        <v>3.7261989044975223</v>
      </c>
      <c r="G10" s="1">
        <v>0.26837</v>
      </c>
      <c r="H10" s="1">
        <v>148.36000000000001</v>
      </c>
      <c r="I10" s="1">
        <v>385.32</v>
      </c>
      <c r="J10" s="1">
        <v>0.7944</v>
      </c>
      <c r="K10" s="1">
        <v>1.8375999999999999</v>
      </c>
      <c r="L10" s="1">
        <v>1.083</v>
      </c>
      <c r="M10" s="1">
        <v>0.59399999999999997</v>
      </c>
      <c r="N10" s="1">
        <v>1.234</v>
      </c>
      <c r="O10" s="1">
        <v>875</v>
      </c>
      <c r="P10" s="1">
        <v>159.1</v>
      </c>
      <c r="Q10" s="1">
        <v>368.6</v>
      </c>
      <c r="R10" s="1">
        <v>9.5299999999999994</v>
      </c>
      <c r="S10" s="1">
        <v>115.9</v>
      </c>
      <c r="T10" s="1">
        <v>6.79</v>
      </c>
      <c r="U10" s="1">
        <v>18.920000000000002</v>
      </c>
      <c r="V10" s="1" t="s">
        <v>286</v>
      </c>
    </row>
    <row r="11" spans="1:22">
      <c r="B11" s="1" t="s">
        <v>287</v>
      </c>
      <c r="C11" s="1">
        <v>8.7050000000000002E-2</v>
      </c>
      <c r="D11" s="108">
        <f t="shared" si="0"/>
        <v>12.6255579</v>
      </c>
      <c r="E11" s="1">
        <v>1418.4</v>
      </c>
      <c r="F11" s="1">
        <f t="shared" si="1"/>
        <v>4.0819658747652872</v>
      </c>
      <c r="G11" s="1">
        <v>0.24498</v>
      </c>
      <c r="H11" s="1">
        <v>150.53</v>
      </c>
      <c r="I11" s="1">
        <v>386.26</v>
      </c>
      <c r="J11" s="1">
        <v>0.80389999999999995</v>
      </c>
      <c r="K11" s="1">
        <v>1.8327</v>
      </c>
      <c r="L11" s="1">
        <v>1.0860000000000001</v>
      </c>
      <c r="M11" s="1">
        <v>0.59899999999999998</v>
      </c>
      <c r="N11" s="1">
        <v>1.2350000000000001</v>
      </c>
      <c r="O11" s="1">
        <v>865</v>
      </c>
      <c r="P11" s="1">
        <v>159.5</v>
      </c>
      <c r="Q11" s="1">
        <v>359.6</v>
      </c>
      <c r="R11" s="1">
        <v>9.6199999999999992</v>
      </c>
      <c r="S11" s="1">
        <v>115</v>
      </c>
      <c r="T11" s="1">
        <v>6.89</v>
      </c>
      <c r="U11" s="1">
        <v>18.59</v>
      </c>
      <c r="V11" s="1" t="s">
        <v>287</v>
      </c>
    </row>
    <row r="12" spans="1:22">
      <c r="B12" s="1" t="s">
        <v>288</v>
      </c>
      <c r="C12" s="1">
        <v>9.5799999999999996E-2</v>
      </c>
      <c r="D12" s="108">
        <f t="shared" si="0"/>
        <v>13.8946404</v>
      </c>
      <c r="E12" s="1">
        <v>1412.6</v>
      </c>
      <c r="F12" s="1">
        <f t="shared" si="1"/>
        <v>4.4638871529327737</v>
      </c>
      <c r="G12" s="1">
        <v>0.22402</v>
      </c>
      <c r="H12" s="1">
        <v>152.69999999999999</v>
      </c>
      <c r="I12" s="1">
        <v>387.2</v>
      </c>
      <c r="J12" s="1">
        <v>0.81340000000000001</v>
      </c>
      <c r="K12" s="1">
        <v>1.8278000000000001</v>
      </c>
      <c r="L12" s="1">
        <v>1.0880000000000001</v>
      </c>
      <c r="M12" s="1">
        <v>0.60299999999999998</v>
      </c>
      <c r="N12" s="1">
        <v>1.236</v>
      </c>
      <c r="O12" s="1">
        <v>856</v>
      </c>
      <c r="P12" s="1">
        <v>159.9</v>
      </c>
      <c r="Q12" s="1">
        <v>351</v>
      </c>
      <c r="R12" s="1">
        <v>9.6999999999999993</v>
      </c>
      <c r="S12" s="1">
        <v>114</v>
      </c>
      <c r="T12" s="1">
        <v>6.99</v>
      </c>
      <c r="U12" s="1">
        <v>18.27</v>
      </c>
      <c r="V12" s="1" t="s">
        <v>288</v>
      </c>
    </row>
    <row r="13" spans="1:22">
      <c r="B13" s="1" t="s">
        <v>335</v>
      </c>
      <c r="C13" s="1">
        <v>0.10131999999999999</v>
      </c>
      <c r="D13" s="108">
        <f t="shared" si="0"/>
        <v>14.695250160000001</v>
      </c>
      <c r="E13" s="1">
        <v>1409.2</v>
      </c>
      <c r="F13" s="1">
        <f t="shared" si="1"/>
        <v>4.7036688617121349</v>
      </c>
      <c r="G13" s="1">
        <v>0.21260000000000001</v>
      </c>
      <c r="H13" s="1">
        <v>154</v>
      </c>
      <c r="I13" s="1">
        <v>387.75</v>
      </c>
      <c r="J13" s="1">
        <v>0.81889999999999996</v>
      </c>
      <c r="K13" s="1">
        <v>1.825</v>
      </c>
      <c r="L13" s="1">
        <v>1.0900000000000001</v>
      </c>
      <c r="M13" s="1">
        <v>0.60599999999999998</v>
      </c>
      <c r="N13" s="1">
        <v>1.236</v>
      </c>
      <c r="O13" s="1">
        <v>851</v>
      </c>
      <c r="P13" s="1">
        <v>160.1</v>
      </c>
      <c r="Q13" s="1">
        <v>346</v>
      </c>
      <c r="R13" s="1">
        <v>9.75</v>
      </c>
      <c r="S13" s="1">
        <v>113.5</v>
      </c>
      <c r="T13" s="1">
        <v>7.05</v>
      </c>
      <c r="U13" s="1">
        <v>18.079999999999998</v>
      </c>
      <c r="V13" s="1" t="s">
        <v>289</v>
      </c>
    </row>
    <row r="14" spans="1:22">
      <c r="B14" s="1" t="s">
        <v>290</v>
      </c>
      <c r="C14" s="1">
        <v>0.10523</v>
      </c>
      <c r="D14" s="108">
        <f t="shared" si="0"/>
        <v>15.262348740000002</v>
      </c>
      <c r="E14" s="1">
        <v>1406.8</v>
      </c>
      <c r="F14" s="1">
        <f t="shared" si="1"/>
        <v>4.8730568685736566</v>
      </c>
      <c r="G14" s="1">
        <v>0.20521</v>
      </c>
      <c r="H14" s="1">
        <v>154.88999999999999</v>
      </c>
      <c r="I14" s="1">
        <v>388.13</v>
      </c>
      <c r="J14" s="1">
        <v>0.82269999999999999</v>
      </c>
      <c r="K14" s="1">
        <v>1.8230999999999999</v>
      </c>
      <c r="L14" s="1">
        <v>1.091</v>
      </c>
      <c r="M14" s="1">
        <v>0.60799999999999998</v>
      </c>
      <c r="N14" s="1">
        <v>1.2370000000000001</v>
      </c>
      <c r="O14" s="1">
        <v>847</v>
      </c>
      <c r="P14" s="1">
        <v>160.30000000000001</v>
      </c>
      <c r="Q14" s="1">
        <v>342.6</v>
      </c>
      <c r="R14" s="1">
        <v>9.7899999999999991</v>
      </c>
      <c r="S14" s="1">
        <v>113.1</v>
      </c>
      <c r="T14" s="1">
        <v>7.09</v>
      </c>
      <c r="U14" s="1">
        <v>17.940000000000001</v>
      </c>
      <c r="V14" s="1" t="s">
        <v>290</v>
      </c>
    </row>
    <row r="15" spans="1:22">
      <c r="B15" s="1" t="s">
        <v>291</v>
      </c>
      <c r="C15" s="1">
        <v>0.11538</v>
      </c>
      <c r="D15" s="108">
        <f t="shared" si="0"/>
        <v>16.734484439999999</v>
      </c>
      <c r="E15" s="1">
        <v>1401</v>
      </c>
      <c r="F15" s="1">
        <f t="shared" si="1"/>
        <v>5.3109565032662376</v>
      </c>
      <c r="G15" s="1">
        <v>0.18829000000000001</v>
      </c>
      <c r="H15" s="1">
        <v>157.07</v>
      </c>
      <c r="I15" s="1">
        <v>389.06</v>
      </c>
      <c r="J15" s="1">
        <v>0.83199999999999996</v>
      </c>
      <c r="K15" s="1">
        <v>1.8186</v>
      </c>
      <c r="L15" s="1">
        <v>1.093</v>
      </c>
      <c r="M15" s="1">
        <v>0.61299999999999999</v>
      </c>
      <c r="N15" s="1">
        <v>1.238</v>
      </c>
      <c r="O15" s="1">
        <v>838</v>
      </c>
      <c r="P15" s="1">
        <v>160.6</v>
      </c>
      <c r="Q15" s="1">
        <v>334.5</v>
      </c>
      <c r="R15" s="1">
        <v>9.8699999999999992</v>
      </c>
      <c r="S15" s="1">
        <v>112.2</v>
      </c>
      <c r="T15" s="1">
        <v>7.19</v>
      </c>
      <c r="U15" s="1">
        <v>17.62</v>
      </c>
      <c r="V15" s="1" t="s">
        <v>291</v>
      </c>
    </row>
    <row r="16" spans="1:22">
      <c r="B16" s="1" t="s">
        <v>292</v>
      </c>
      <c r="C16" s="1">
        <v>0.12628</v>
      </c>
      <c r="D16" s="108">
        <f t="shared" si="0"/>
        <v>18.315398640000002</v>
      </c>
      <c r="E16" s="1">
        <v>1395.1</v>
      </c>
      <c r="F16" s="1">
        <f t="shared" si="1"/>
        <v>5.7790106333795652</v>
      </c>
      <c r="G16" s="1">
        <v>0.17304</v>
      </c>
      <c r="H16" s="1">
        <v>159.27000000000001</v>
      </c>
      <c r="I16" s="1">
        <v>389.97</v>
      </c>
      <c r="J16" s="1">
        <v>0.84130000000000005</v>
      </c>
      <c r="K16" s="1">
        <v>1.8141</v>
      </c>
      <c r="L16" s="1">
        <v>1.0960000000000001</v>
      </c>
      <c r="M16" s="1">
        <v>0.61899999999999999</v>
      </c>
      <c r="N16" s="1">
        <v>1.2390000000000001</v>
      </c>
      <c r="O16" s="1">
        <v>828</v>
      </c>
      <c r="P16" s="1">
        <v>160.9</v>
      </c>
      <c r="Q16" s="1">
        <v>326.7</v>
      </c>
      <c r="R16" s="1">
        <v>9.9600000000000009</v>
      </c>
      <c r="S16" s="1">
        <v>111.2</v>
      </c>
      <c r="T16" s="1">
        <v>7.29</v>
      </c>
      <c r="U16" s="1">
        <v>17.3</v>
      </c>
      <c r="V16" s="1" t="s">
        <v>292</v>
      </c>
    </row>
    <row r="17" spans="2:22">
      <c r="B17" s="1" t="s">
        <v>293</v>
      </c>
      <c r="C17" s="1">
        <v>0.13797000000000001</v>
      </c>
      <c r="D17" s="108">
        <f t="shared" si="0"/>
        <v>20.010892860000002</v>
      </c>
      <c r="E17" s="1">
        <v>1389.1</v>
      </c>
      <c r="F17" s="1">
        <f t="shared" si="1"/>
        <v>6.2786463238525778</v>
      </c>
      <c r="G17" s="1">
        <v>0.15926999999999999</v>
      </c>
      <c r="H17" s="1">
        <v>161.47</v>
      </c>
      <c r="I17" s="1">
        <v>390.89</v>
      </c>
      <c r="J17" s="1">
        <v>0.85050000000000003</v>
      </c>
      <c r="K17" s="1">
        <v>1.8098000000000001</v>
      </c>
      <c r="L17" s="1">
        <v>1.099</v>
      </c>
      <c r="M17" s="1">
        <v>0.624</v>
      </c>
      <c r="N17" s="1">
        <v>1.2410000000000001</v>
      </c>
      <c r="O17" s="1">
        <v>819</v>
      </c>
      <c r="P17" s="1">
        <v>161.19999999999999</v>
      </c>
      <c r="Q17" s="1">
        <v>319.10000000000002</v>
      </c>
      <c r="R17" s="1">
        <v>10.039999999999999</v>
      </c>
      <c r="S17" s="1">
        <v>110.3</v>
      </c>
      <c r="T17" s="1">
        <v>7.4</v>
      </c>
      <c r="U17" s="1">
        <v>16.98</v>
      </c>
      <c r="V17" s="1" t="s">
        <v>293</v>
      </c>
    </row>
    <row r="18" spans="2:22">
      <c r="B18" s="1" t="s">
        <v>294</v>
      </c>
      <c r="C18" s="1">
        <v>0.15049999999999999</v>
      </c>
      <c r="D18" s="108">
        <f t="shared" si="0"/>
        <v>21.828219000000001</v>
      </c>
      <c r="E18" s="1">
        <v>1383.2</v>
      </c>
      <c r="F18" s="1">
        <f t="shared" si="1"/>
        <v>6.8110611633292466</v>
      </c>
      <c r="G18" s="1">
        <v>0.14682000000000001</v>
      </c>
      <c r="H18" s="1">
        <v>163.66999999999999</v>
      </c>
      <c r="I18" s="1">
        <v>391.79</v>
      </c>
      <c r="J18" s="1">
        <v>0.85960000000000003</v>
      </c>
      <c r="K18" s="1">
        <v>1.8056000000000001</v>
      </c>
      <c r="L18" s="1">
        <v>1.1020000000000001</v>
      </c>
      <c r="M18" s="1">
        <v>0.629</v>
      </c>
      <c r="N18" s="1">
        <v>1.242</v>
      </c>
      <c r="O18" s="1">
        <v>810</v>
      </c>
      <c r="P18" s="1">
        <v>161.5</v>
      </c>
      <c r="Q18" s="1">
        <v>311.7</v>
      </c>
      <c r="R18" s="1">
        <v>10.119999999999999</v>
      </c>
      <c r="S18" s="1">
        <v>109.4</v>
      </c>
      <c r="T18" s="1">
        <v>7.51</v>
      </c>
      <c r="U18" s="1">
        <v>16.66</v>
      </c>
      <c r="V18" s="1" t="s">
        <v>294</v>
      </c>
    </row>
    <row r="19" spans="2:22">
      <c r="B19" s="1" t="s">
        <v>295</v>
      </c>
      <c r="C19" s="1">
        <v>0.16389000000000001</v>
      </c>
      <c r="D19" s="108">
        <f t="shared" si="0"/>
        <v>23.770277820000004</v>
      </c>
      <c r="E19" s="1">
        <v>1377.2</v>
      </c>
      <c r="F19" s="1">
        <f t="shared" si="1"/>
        <v>7.3784401977421963</v>
      </c>
      <c r="G19" s="1">
        <v>0.13553000000000001</v>
      </c>
      <c r="H19" s="1">
        <v>165.88</v>
      </c>
      <c r="I19" s="1">
        <v>392.69</v>
      </c>
      <c r="J19" s="1">
        <v>0.86870000000000003</v>
      </c>
      <c r="K19" s="1">
        <v>1.8015000000000001</v>
      </c>
      <c r="L19" s="1">
        <v>1.105</v>
      </c>
      <c r="M19" s="1">
        <v>0.63500000000000001</v>
      </c>
      <c r="N19" s="1">
        <v>1.244</v>
      </c>
      <c r="O19" s="1">
        <v>800</v>
      </c>
      <c r="P19" s="1">
        <v>161.80000000000001</v>
      </c>
      <c r="Q19" s="1">
        <v>304.60000000000002</v>
      </c>
      <c r="R19" s="1">
        <v>10.210000000000001</v>
      </c>
      <c r="S19" s="1">
        <v>108.5</v>
      </c>
      <c r="T19" s="1">
        <v>7.61</v>
      </c>
      <c r="U19" s="1">
        <v>16.34</v>
      </c>
      <c r="V19" s="1" t="s">
        <v>295</v>
      </c>
    </row>
    <row r="20" spans="2:22">
      <c r="B20" s="1" t="s">
        <v>296</v>
      </c>
      <c r="C20" s="1">
        <v>0.17818999999999999</v>
      </c>
      <c r="D20" s="108">
        <f t="shared" si="0"/>
        <v>25.844321220000001</v>
      </c>
      <c r="E20" s="1">
        <v>1371.1</v>
      </c>
      <c r="F20" s="1">
        <f t="shared" si="1"/>
        <v>7.9821200510855679</v>
      </c>
      <c r="G20" s="1">
        <v>0.12528</v>
      </c>
      <c r="H20" s="1">
        <v>168.1</v>
      </c>
      <c r="I20" s="1">
        <v>393.58</v>
      </c>
      <c r="J20" s="1">
        <v>0.87780000000000002</v>
      </c>
      <c r="K20" s="1">
        <v>1.7975000000000001</v>
      </c>
      <c r="L20" s="1">
        <v>1.1080000000000001</v>
      </c>
      <c r="M20" s="1">
        <v>0.64100000000000001</v>
      </c>
      <c r="N20" s="1">
        <v>1.246</v>
      </c>
      <c r="O20" s="1">
        <v>791</v>
      </c>
      <c r="P20" s="1">
        <v>162</v>
      </c>
      <c r="Q20" s="1">
        <v>297.7</v>
      </c>
      <c r="R20" s="1">
        <v>10.29</v>
      </c>
      <c r="S20" s="1">
        <v>107.5</v>
      </c>
      <c r="T20" s="1">
        <v>7.72</v>
      </c>
      <c r="U20" s="1">
        <v>16.02</v>
      </c>
      <c r="V20" s="1" t="s">
        <v>296</v>
      </c>
    </row>
    <row r="21" spans="2:22">
      <c r="B21" s="1" t="s">
        <v>297</v>
      </c>
      <c r="C21" s="1">
        <v>0.19344</v>
      </c>
      <c r="D21" s="108">
        <f t="shared" si="0"/>
        <v>28.056150720000002</v>
      </c>
      <c r="E21" s="1">
        <v>1365</v>
      </c>
      <c r="F21" s="1">
        <f t="shared" si="1"/>
        <v>8.6229197206174</v>
      </c>
      <c r="G21" s="1">
        <v>0.11597</v>
      </c>
      <c r="H21" s="1">
        <v>170.33</v>
      </c>
      <c r="I21" s="1">
        <v>394.47</v>
      </c>
      <c r="J21" s="1">
        <v>0.88680000000000003</v>
      </c>
      <c r="K21" s="1">
        <v>1.7937000000000001</v>
      </c>
      <c r="L21" s="1">
        <v>1.1120000000000001</v>
      </c>
      <c r="M21" s="1">
        <v>0.64600000000000002</v>
      </c>
      <c r="N21" s="1">
        <v>1.248</v>
      </c>
      <c r="O21" s="1">
        <v>782</v>
      </c>
      <c r="P21" s="1">
        <v>162.30000000000001</v>
      </c>
      <c r="Q21" s="1">
        <v>291</v>
      </c>
      <c r="R21" s="1">
        <v>10.38</v>
      </c>
      <c r="S21" s="1">
        <v>106.6</v>
      </c>
      <c r="T21" s="1">
        <v>7.83</v>
      </c>
      <c r="U21" s="1">
        <v>15.7</v>
      </c>
      <c r="V21" s="1" t="s">
        <v>297</v>
      </c>
    </row>
    <row r="22" spans="2:22">
      <c r="B22" s="1" t="s">
        <v>298</v>
      </c>
      <c r="C22" s="1">
        <v>0.20968000000000001</v>
      </c>
      <c r="D22" s="108">
        <f t="shared" si="0"/>
        <v>30.411567840000004</v>
      </c>
      <c r="E22" s="1">
        <v>1358.9</v>
      </c>
      <c r="F22" s="1">
        <f t="shared" si="1"/>
        <v>9.3031909945111178</v>
      </c>
      <c r="G22" s="1">
        <v>0.10749</v>
      </c>
      <c r="H22" s="1">
        <v>172.56</v>
      </c>
      <c r="I22" s="1">
        <v>395.34</v>
      </c>
      <c r="J22" s="1">
        <v>0.89570000000000005</v>
      </c>
      <c r="K22" s="1">
        <v>1.7899</v>
      </c>
      <c r="L22" s="1">
        <v>1.115</v>
      </c>
      <c r="M22" s="1">
        <v>0.65300000000000002</v>
      </c>
      <c r="N22" s="1">
        <v>1.25</v>
      </c>
      <c r="O22" s="1">
        <v>772</v>
      </c>
      <c r="P22" s="1">
        <v>162.5</v>
      </c>
      <c r="Q22" s="1">
        <v>284.39999999999998</v>
      </c>
      <c r="R22" s="1">
        <v>10.46</v>
      </c>
      <c r="S22" s="1">
        <v>105.7</v>
      </c>
      <c r="T22" s="1">
        <v>7.94</v>
      </c>
      <c r="U22" s="1">
        <v>15.39</v>
      </c>
      <c r="V22" s="1" t="s">
        <v>298</v>
      </c>
    </row>
    <row r="23" spans="2:22">
      <c r="B23" s="1" t="s">
        <v>299</v>
      </c>
      <c r="C23" s="1">
        <v>0.22696</v>
      </c>
      <c r="D23" s="108">
        <f t="shared" si="0"/>
        <v>32.91782448</v>
      </c>
      <c r="E23" s="1">
        <v>1352.7</v>
      </c>
      <c r="F23" s="1">
        <f t="shared" si="1"/>
        <v>10.025062656641603</v>
      </c>
      <c r="G23" s="1">
        <v>9.9750000000000005E-2</v>
      </c>
      <c r="H23" s="1">
        <v>174.8</v>
      </c>
      <c r="I23" s="1">
        <v>396.21</v>
      </c>
      <c r="J23" s="1">
        <v>0.90459999999999996</v>
      </c>
      <c r="K23" s="1">
        <v>1.7862</v>
      </c>
      <c r="L23" s="1">
        <v>1.119</v>
      </c>
      <c r="M23" s="1">
        <v>0.65900000000000003</v>
      </c>
      <c r="N23" s="1">
        <v>1.2529999999999999</v>
      </c>
      <c r="O23" s="1">
        <v>763</v>
      </c>
      <c r="P23" s="1">
        <v>162.69999999999999</v>
      </c>
      <c r="Q23" s="1">
        <v>278.10000000000002</v>
      </c>
      <c r="R23" s="1">
        <v>10.55</v>
      </c>
      <c r="S23" s="1">
        <v>104.8</v>
      </c>
      <c r="T23" s="1">
        <v>8.06</v>
      </c>
      <c r="U23" s="1">
        <v>15.07</v>
      </c>
      <c r="V23" s="1" t="s">
        <v>299</v>
      </c>
    </row>
    <row r="24" spans="2:22">
      <c r="B24" s="1" t="s">
        <v>300</v>
      </c>
      <c r="C24" s="1">
        <v>0.24531</v>
      </c>
      <c r="D24" s="108">
        <f t="shared" si="0"/>
        <v>35.579271780000006</v>
      </c>
      <c r="E24" s="1">
        <v>1346.5</v>
      </c>
      <c r="F24" s="1">
        <f t="shared" si="1"/>
        <v>10.789814415192058</v>
      </c>
      <c r="G24" s="1">
        <v>9.2679999999999998E-2</v>
      </c>
      <c r="H24" s="1">
        <v>177.04</v>
      </c>
      <c r="I24" s="1">
        <v>397.06</v>
      </c>
      <c r="J24" s="1">
        <v>0.91349999999999998</v>
      </c>
      <c r="K24" s="1">
        <v>1.7826</v>
      </c>
      <c r="L24" s="1">
        <v>1.123</v>
      </c>
      <c r="M24" s="1">
        <v>0.66500000000000004</v>
      </c>
      <c r="N24" s="1">
        <v>1.2549999999999999</v>
      </c>
      <c r="O24" s="1">
        <v>754</v>
      </c>
      <c r="P24" s="1">
        <v>162.80000000000001</v>
      </c>
      <c r="Q24" s="1">
        <v>271.89999999999998</v>
      </c>
      <c r="R24" s="1">
        <v>10.63</v>
      </c>
      <c r="S24" s="1">
        <v>103.9</v>
      </c>
      <c r="T24" s="1">
        <v>8.17</v>
      </c>
      <c r="U24" s="1">
        <v>14.76</v>
      </c>
      <c r="V24" s="1" t="s">
        <v>300</v>
      </c>
    </row>
    <row r="25" spans="2:22">
      <c r="B25" s="1" t="s">
        <v>301</v>
      </c>
      <c r="C25" s="1">
        <v>0.26479000000000003</v>
      </c>
      <c r="D25" s="108">
        <f t="shared" si="0"/>
        <v>38.404612020000009</v>
      </c>
      <c r="E25" s="1">
        <v>1340.3</v>
      </c>
      <c r="F25" s="1">
        <f t="shared" si="1"/>
        <v>11.59958241503306</v>
      </c>
      <c r="G25" s="1">
        <v>8.6209999999999995E-2</v>
      </c>
      <c r="H25" s="1">
        <v>179.3</v>
      </c>
      <c r="I25" s="1">
        <v>397.91</v>
      </c>
      <c r="J25" s="1">
        <v>0.92230000000000001</v>
      </c>
      <c r="K25" s="1">
        <v>1.7790999999999999</v>
      </c>
      <c r="L25" s="1">
        <v>1.127</v>
      </c>
      <c r="M25" s="1">
        <v>0.67200000000000004</v>
      </c>
      <c r="N25" s="1">
        <v>1.258</v>
      </c>
      <c r="O25" s="1">
        <v>744</v>
      </c>
      <c r="P25" s="1">
        <v>163</v>
      </c>
      <c r="Q25" s="1">
        <v>265.89999999999998</v>
      </c>
      <c r="R25" s="1">
        <v>10.72</v>
      </c>
      <c r="S25" s="1">
        <v>103</v>
      </c>
      <c r="T25" s="1">
        <v>8.2899999999999991</v>
      </c>
      <c r="U25" s="1">
        <v>14.45</v>
      </c>
      <c r="V25" s="1" t="s">
        <v>301</v>
      </c>
    </row>
    <row r="26" spans="2:22">
      <c r="B26" s="1" t="s">
        <v>302</v>
      </c>
      <c r="C26" s="1">
        <v>0.28543000000000002</v>
      </c>
      <c r="D26" s="108">
        <f t="shared" si="0"/>
        <v>41.398196340000005</v>
      </c>
      <c r="E26" s="1">
        <v>1334</v>
      </c>
      <c r="F26" s="1">
        <f t="shared" si="1"/>
        <v>12.454851164528584</v>
      </c>
      <c r="G26" s="1">
        <v>8.029E-2</v>
      </c>
      <c r="H26" s="1">
        <v>181.56</v>
      </c>
      <c r="I26" s="1">
        <v>398.75</v>
      </c>
      <c r="J26" s="1">
        <v>0.93110000000000004</v>
      </c>
      <c r="K26" s="1">
        <v>1.7757000000000001</v>
      </c>
      <c r="L26" s="1">
        <v>1.131</v>
      </c>
      <c r="M26" s="1">
        <v>0.67800000000000005</v>
      </c>
      <c r="N26" s="1">
        <v>1.2609999999999999</v>
      </c>
      <c r="O26" s="1">
        <v>735</v>
      </c>
      <c r="P26" s="1">
        <v>163.1</v>
      </c>
      <c r="Q26" s="1">
        <v>260.10000000000002</v>
      </c>
      <c r="R26" s="1">
        <v>10.8</v>
      </c>
      <c r="S26" s="1">
        <v>102.1</v>
      </c>
      <c r="T26" s="1">
        <v>8.4</v>
      </c>
      <c r="U26" s="1">
        <v>14.14</v>
      </c>
      <c r="V26" s="1" t="s">
        <v>302</v>
      </c>
    </row>
    <row r="27" spans="2:22">
      <c r="B27" s="1" t="s">
        <v>303</v>
      </c>
      <c r="C27" s="1">
        <v>0.30728</v>
      </c>
      <c r="D27" s="108">
        <f t="shared" si="0"/>
        <v>44.567276640000003</v>
      </c>
      <c r="E27" s="1">
        <v>1327.6</v>
      </c>
      <c r="F27" s="1">
        <f t="shared" si="1"/>
        <v>13.360053440213761</v>
      </c>
      <c r="G27" s="1">
        <v>7.485E-2</v>
      </c>
      <c r="H27" s="1">
        <v>183.83</v>
      </c>
      <c r="I27" s="1">
        <v>399.57</v>
      </c>
      <c r="J27" s="1">
        <v>0.93979999999999997</v>
      </c>
      <c r="K27" s="1">
        <v>1.7723</v>
      </c>
      <c r="L27" s="1">
        <v>1.135</v>
      </c>
      <c r="M27" s="1">
        <v>0.68500000000000005</v>
      </c>
      <c r="N27" s="1">
        <v>1.264</v>
      </c>
      <c r="O27" s="1">
        <v>726</v>
      </c>
      <c r="P27" s="1">
        <v>163.19999999999999</v>
      </c>
      <c r="Q27" s="1">
        <v>254.4</v>
      </c>
      <c r="R27" s="1">
        <v>10.89</v>
      </c>
      <c r="S27" s="1">
        <v>101.1</v>
      </c>
      <c r="T27" s="1">
        <v>8.52</v>
      </c>
      <c r="U27" s="1">
        <v>13.83</v>
      </c>
      <c r="V27" s="1" t="s">
        <v>303</v>
      </c>
    </row>
    <row r="28" spans="2:22">
      <c r="B28" s="1" t="s">
        <v>304</v>
      </c>
      <c r="C28" s="1">
        <v>0.33038000000000001</v>
      </c>
      <c r="D28" s="108">
        <f t="shared" si="0"/>
        <v>47.917654440000007</v>
      </c>
      <c r="E28" s="1">
        <v>1321.2</v>
      </c>
      <c r="F28" s="1">
        <f t="shared" si="1"/>
        <v>14.314342971657601</v>
      </c>
      <c r="G28" s="1">
        <v>6.9860000000000005E-2</v>
      </c>
      <c r="H28" s="1">
        <v>186.11</v>
      </c>
      <c r="I28" s="1">
        <v>400.39</v>
      </c>
      <c r="J28" s="1">
        <v>0.94850000000000001</v>
      </c>
      <c r="K28" s="1">
        <v>1.7689999999999999</v>
      </c>
      <c r="L28" s="1">
        <v>1.139</v>
      </c>
      <c r="M28" s="1">
        <v>0.69199999999999995</v>
      </c>
      <c r="N28" s="1">
        <v>1.2669999999999999</v>
      </c>
      <c r="O28" s="1">
        <v>716</v>
      </c>
      <c r="P28" s="1">
        <v>163.30000000000001</v>
      </c>
      <c r="Q28" s="1">
        <v>248.8</v>
      </c>
      <c r="R28" s="1">
        <v>10.98</v>
      </c>
      <c r="S28" s="1">
        <v>100.2</v>
      </c>
      <c r="T28" s="1">
        <v>8.65</v>
      </c>
      <c r="U28" s="1">
        <v>13.52</v>
      </c>
      <c r="V28" s="1" t="s">
        <v>304</v>
      </c>
    </row>
    <row r="29" spans="2:22">
      <c r="B29" s="1" t="s">
        <v>305</v>
      </c>
      <c r="C29" s="1">
        <v>0.35478999999999999</v>
      </c>
      <c r="D29" s="108">
        <f t="shared" si="0"/>
        <v>51.458032020000005</v>
      </c>
      <c r="E29" s="1">
        <v>1314.7</v>
      </c>
      <c r="F29" s="1">
        <f t="shared" si="1"/>
        <v>15.32097441397273</v>
      </c>
      <c r="G29" s="1">
        <v>6.5269999999999995E-2</v>
      </c>
      <c r="H29" s="1">
        <v>188.4</v>
      </c>
      <c r="I29" s="1">
        <v>401.2</v>
      </c>
      <c r="J29" s="1">
        <v>0.95720000000000005</v>
      </c>
      <c r="K29" s="1">
        <v>1.7658</v>
      </c>
      <c r="L29" s="1">
        <v>1.1439999999999999</v>
      </c>
      <c r="M29" s="1">
        <v>0.69899999999999995</v>
      </c>
      <c r="N29" s="1">
        <v>1.27</v>
      </c>
      <c r="O29" s="1">
        <v>707</v>
      </c>
      <c r="P29" s="1">
        <v>163.30000000000001</v>
      </c>
      <c r="Q29" s="1">
        <v>243.4</v>
      </c>
      <c r="R29" s="1">
        <v>11.06</v>
      </c>
      <c r="S29" s="1">
        <v>99.3</v>
      </c>
      <c r="T29" s="1">
        <v>8.77</v>
      </c>
      <c r="U29" s="1">
        <v>13.21</v>
      </c>
      <c r="V29" s="1" t="s">
        <v>305</v>
      </c>
    </row>
    <row r="30" spans="2:22">
      <c r="B30" s="1" t="s">
        <v>306</v>
      </c>
      <c r="C30" s="1">
        <v>0.38053999999999999</v>
      </c>
      <c r="D30" s="108">
        <f t="shared" si="0"/>
        <v>55.19276052</v>
      </c>
      <c r="E30" s="1">
        <v>1308.2</v>
      </c>
      <c r="F30" s="1">
        <f t="shared" si="1"/>
        <v>16.385384237260364</v>
      </c>
      <c r="G30" s="1">
        <v>6.1030000000000001E-2</v>
      </c>
      <c r="H30" s="1">
        <v>190.7</v>
      </c>
      <c r="I30" s="1">
        <v>401.99</v>
      </c>
      <c r="J30" s="1">
        <v>0.96579999999999999</v>
      </c>
      <c r="K30" s="1">
        <v>1.7626999999999999</v>
      </c>
      <c r="L30" s="1">
        <v>1.149</v>
      </c>
      <c r="M30" s="1">
        <v>0.70699999999999996</v>
      </c>
      <c r="N30" s="1">
        <v>1.274</v>
      </c>
      <c r="O30" s="1">
        <v>697</v>
      </c>
      <c r="P30" s="1">
        <v>163.4</v>
      </c>
      <c r="Q30" s="1">
        <v>238.1</v>
      </c>
      <c r="R30" s="1">
        <v>11.15</v>
      </c>
      <c r="S30" s="1">
        <v>98.4</v>
      </c>
      <c r="T30" s="1">
        <v>8.89</v>
      </c>
      <c r="U30" s="1">
        <v>12.91</v>
      </c>
      <c r="V30" s="1" t="s">
        <v>306</v>
      </c>
    </row>
    <row r="31" spans="2:22">
      <c r="B31" s="1" t="s">
        <v>307</v>
      </c>
      <c r="C31" s="1">
        <v>0.40769</v>
      </c>
      <c r="D31" s="108">
        <f t="shared" si="0"/>
        <v>59.130542220000002</v>
      </c>
      <c r="E31" s="1">
        <v>1301.5999999999999</v>
      </c>
      <c r="F31" s="1">
        <f t="shared" si="1"/>
        <v>17.50393838613688</v>
      </c>
      <c r="G31" s="1">
        <v>5.713E-2</v>
      </c>
      <c r="H31" s="1">
        <v>193.01</v>
      </c>
      <c r="I31" s="1">
        <v>402.77</v>
      </c>
      <c r="J31" s="1">
        <v>0.97440000000000004</v>
      </c>
      <c r="K31" s="1">
        <v>1.7596000000000001</v>
      </c>
      <c r="L31" s="1">
        <v>1.1539999999999999</v>
      </c>
      <c r="M31" s="1">
        <v>0.71499999999999997</v>
      </c>
      <c r="N31" s="1">
        <v>1.278</v>
      </c>
      <c r="O31" s="1">
        <v>688</v>
      </c>
      <c r="P31" s="1">
        <v>163.4</v>
      </c>
      <c r="Q31" s="1">
        <v>233</v>
      </c>
      <c r="R31" s="1">
        <v>11.24</v>
      </c>
      <c r="S31" s="1">
        <v>97.5</v>
      </c>
      <c r="T31" s="1">
        <v>9.02</v>
      </c>
      <c r="U31" s="1">
        <v>12.6</v>
      </c>
      <c r="V31" s="1" t="s">
        <v>307</v>
      </c>
    </row>
    <row r="32" spans="2:22">
      <c r="B32" s="1" t="s">
        <v>308</v>
      </c>
      <c r="C32" s="1">
        <v>0.43628</v>
      </c>
      <c r="D32" s="108">
        <f t="shared" si="0"/>
        <v>63.277178640000002</v>
      </c>
      <c r="E32" s="1">
        <v>1295</v>
      </c>
      <c r="F32" s="1">
        <f t="shared" si="1"/>
        <v>18.68460388639761</v>
      </c>
      <c r="G32" s="1">
        <v>5.3519999999999998E-2</v>
      </c>
      <c r="H32" s="1">
        <v>195.33</v>
      </c>
      <c r="I32" s="1">
        <v>403.55</v>
      </c>
      <c r="J32" s="1">
        <v>0.98299999999999998</v>
      </c>
      <c r="K32" s="1">
        <v>1.7565999999999999</v>
      </c>
      <c r="L32" s="1">
        <v>1.159</v>
      </c>
      <c r="M32" s="1">
        <v>0.72199999999999998</v>
      </c>
      <c r="N32" s="1">
        <v>1.282</v>
      </c>
      <c r="O32" s="1">
        <v>679</v>
      </c>
      <c r="P32" s="1">
        <v>163.4</v>
      </c>
      <c r="Q32" s="1">
        <v>227.9</v>
      </c>
      <c r="R32" s="1">
        <v>11.32</v>
      </c>
      <c r="S32" s="1">
        <v>96.6</v>
      </c>
      <c r="T32" s="1">
        <v>9.15</v>
      </c>
      <c r="U32" s="1">
        <v>12.3</v>
      </c>
      <c r="V32" s="1" t="s">
        <v>308</v>
      </c>
    </row>
    <row r="33" spans="2:22">
      <c r="B33" s="1" t="s">
        <v>309</v>
      </c>
      <c r="C33" s="1">
        <v>0.46636</v>
      </c>
      <c r="D33" s="108">
        <f t="shared" si="0"/>
        <v>67.63992168</v>
      </c>
      <c r="E33" s="1">
        <v>1288.3</v>
      </c>
      <c r="F33" s="1">
        <f t="shared" si="1"/>
        <v>19.924287706714484</v>
      </c>
      <c r="G33" s="1">
        <v>5.0189999999999999E-2</v>
      </c>
      <c r="H33" s="1">
        <v>197.66</v>
      </c>
      <c r="I33" s="1">
        <v>404.3</v>
      </c>
      <c r="J33" s="1">
        <v>0.99150000000000005</v>
      </c>
      <c r="K33" s="1">
        <v>1.7536</v>
      </c>
      <c r="L33" s="1">
        <v>1.1639999999999999</v>
      </c>
      <c r="M33" s="1">
        <v>0.73099999999999998</v>
      </c>
      <c r="N33" s="1">
        <v>1.2869999999999999</v>
      </c>
      <c r="O33" s="1">
        <v>669</v>
      </c>
      <c r="P33" s="1">
        <v>163.4</v>
      </c>
      <c r="Q33" s="1">
        <v>223</v>
      </c>
      <c r="R33" s="1">
        <v>11.41</v>
      </c>
      <c r="S33" s="1">
        <v>95.7</v>
      </c>
      <c r="T33" s="1">
        <v>9.2799999999999994</v>
      </c>
      <c r="U33" s="1">
        <v>12</v>
      </c>
      <c r="V33" s="1" t="s">
        <v>309</v>
      </c>
    </row>
    <row r="34" spans="2:22">
      <c r="B34" s="1">
        <v>0</v>
      </c>
      <c r="C34" s="1">
        <v>0.49798999999999999</v>
      </c>
      <c r="D34" s="108">
        <f t="shared" si="0"/>
        <v>72.227473619999998</v>
      </c>
      <c r="E34" s="1">
        <v>1281.5</v>
      </c>
      <c r="F34" s="1">
        <f t="shared" si="1"/>
        <v>21.231422505307854</v>
      </c>
      <c r="G34" s="1">
        <v>4.7100000000000003E-2</v>
      </c>
      <c r="H34" s="1">
        <v>200</v>
      </c>
      <c r="I34" s="1">
        <v>405.05</v>
      </c>
      <c r="J34" s="1">
        <v>1</v>
      </c>
      <c r="K34" s="1">
        <v>1.7506999999999999</v>
      </c>
      <c r="L34" s="1">
        <v>1.169</v>
      </c>
      <c r="M34" s="1">
        <v>0.73899999999999999</v>
      </c>
      <c r="N34" s="1">
        <v>1.2909999999999999</v>
      </c>
      <c r="O34" s="1">
        <v>660</v>
      </c>
      <c r="P34" s="1">
        <v>163.30000000000001</v>
      </c>
      <c r="Q34" s="1">
        <v>218.2</v>
      </c>
      <c r="R34" s="1">
        <v>11.5</v>
      </c>
      <c r="S34" s="1">
        <v>94.8</v>
      </c>
      <c r="T34" s="1">
        <v>9.42</v>
      </c>
      <c r="U34" s="1">
        <v>11.7</v>
      </c>
      <c r="V34" s="1">
        <v>0</v>
      </c>
    </row>
    <row r="35" spans="2:22">
      <c r="B35" s="1">
        <v>2</v>
      </c>
      <c r="C35" s="1">
        <v>0.53120000000000001</v>
      </c>
      <c r="D35" s="108">
        <f t="shared" ref="D35:D66" si="2">C35*145.038</f>
        <v>77.044185600000006</v>
      </c>
      <c r="E35" s="1">
        <v>1274.7</v>
      </c>
      <c r="F35" s="1">
        <f t="shared" ref="F35:F66" si="3">1/G35</f>
        <v>22.603978300180831</v>
      </c>
      <c r="G35" s="1">
        <v>4.4240000000000002E-2</v>
      </c>
      <c r="H35" s="1">
        <v>202.35</v>
      </c>
      <c r="I35" s="1">
        <v>405.78</v>
      </c>
      <c r="J35" s="1">
        <v>1.0085</v>
      </c>
      <c r="K35" s="1">
        <v>1.7478</v>
      </c>
      <c r="L35" s="1">
        <v>1.175</v>
      </c>
      <c r="M35" s="1">
        <v>0.748</v>
      </c>
      <c r="N35" s="1">
        <v>1.296</v>
      </c>
      <c r="O35" s="1">
        <v>650</v>
      </c>
      <c r="P35" s="1">
        <v>163.19999999999999</v>
      </c>
      <c r="Q35" s="1">
        <v>213.5</v>
      </c>
      <c r="R35" s="1">
        <v>11.59</v>
      </c>
      <c r="S35" s="1">
        <v>93.9</v>
      </c>
      <c r="T35" s="1">
        <v>9.56</v>
      </c>
      <c r="U35" s="1">
        <v>11.4</v>
      </c>
      <c r="V35" s="1">
        <v>2</v>
      </c>
    </row>
    <row r="36" spans="2:22">
      <c r="B36" s="1">
        <v>4</v>
      </c>
      <c r="C36" s="1">
        <v>0.56605000000000005</v>
      </c>
      <c r="D36" s="108">
        <f t="shared" si="2"/>
        <v>82.098759900000019</v>
      </c>
      <c r="E36" s="1">
        <v>1267.8</v>
      </c>
      <c r="F36" s="1">
        <f t="shared" si="3"/>
        <v>24.044241404183698</v>
      </c>
      <c r="G36" s="1">
        <v>4.1590000000000002E-2</v>
      </c>
      <c r="H36" s="1">
        <v>204.71</v>
      </c>
      <c r="I36" s="1">
        <v>406.5</v>
      </c>
      <c r="J36" s="1">
        <v>1.0168999999999999</v>
      </c>
      <c r="K36" s="1">
        <v>1.7450000000000001</v>
      </c>
      <c r="L36" s="1">
        <v>1.181</v>
      </c>
      <c r="M36" s="1">
        <v>0.75700000000000001</v>
      </c>
      <c r="N36" s="1">
        <v>1.3009999999999999</v>
      </c>
      <c r="O36" s="1">
        <v>641</v>
      </c>
      <c r="P36" s="1">
        <v>163.1</v>
      </c>
      <c r="Q36" s="1">
        <v>208.9</v>
      </c>
      <c r="R36" s="1">
        <v>11.68</v>
      </c>
      <c r="S36" s="1">
        <v>93.1</v>
      </c>
      <c r="T36" s="1">
        <v>9.6999999999999993</v>
      </c>
      <c r="U36" s="1">
        <v>11.1</v>
      </c>
      <c r="V36" s="1">
        <v>4</v>
      </c>
    </row>
    <row r="37" spans="2:22">
      <c r="B37" s="1">
        <v>6</v>
      </c>
      <c r="C37" s="1">
        <v>0.60258999999999996</v>
      </c>
      <c r="D37" s="108">
        <f t="shared" si="2"/>
        <v>87.398448419999994</v>
      </c>
      <c r="E37" s="1">
        <v>1260.8</v>
      </c>
      <c r="F37" s="1">
        <f t="shared" si="3"/>
        <v>25.555839509327882</v>
      </c>
      <c r="G37" s="1">
        <v>3.9129999999999998E-2</v>
      </c>
      <c r="H37" s="1">
        <v>207.09</v>
      </c>
      <c r="I37" s="1">
        <v>407.2</v>
      </c>
      <c r="J37" s="1">
        <v>1.0254000000000001</v>
      </c>
      <c r="K37" s="1">
        <v>1.7422</v>
      </c>
      <c r="L37" s="1">
        <v>1.1870000000000001</v>
      </c>
      <c r="M37" s="1">
        <v>0.76600000000000001</v>
      </c>
      <c r="N37" s="1">
        <v>1.3069999999999999</v>
      </c>
      <c r="O37" s="1">
        <v>632</v>
      </c>
      <c r="P37" s="1">
        <v>163</v>
      </c>
      <c r="Q37" s="1">
        <v>204.4</v>
      </c>
      <c r="R37" s="1">
        <v>11.77</v>
      </c>
      <c r="S37" s="1">
        <v>92.2</v>
      </c>
      <c r="T37" s="1">
        <v>9.84</v>
      </c>
      <c r="U37" s="1">
        <v>10.81</v>
      </c>
      <c r="V37" s="1">
        <v>6</v>
      </c>
    </row>
    <row r="38" spans="2:22">
      <c r="B38" s="1">
        <v>8</v>
      </c>
      <c r="C38" s="1">
        <v>0.64088000000000001</v>
      </c>
      <c r="D38" s="108">
        <f t="shared" si="2"/>
        <v>92.951953440000011</v>
      </c>
      <c r="E38" s="1">
        <v>1253.8</v>
      </c>
      <c r="F38" s="1">
        <f t="shared" si="3"/>
        <v>27.151778441487917</v>
      </c>
      <c r="G38" s="1">
        <v>3.6830000000000002E-2</v>
      </c>
      <c r="H38" s="1">
        <v>209.47</v>
      </c>
      <c r="I38" s="1">
        <v>407.89</v>
      </c>
      <c r="J38" s="1">
        <v>1.0338000000000001</v>
      </c>
      <c r="K38" s="1">
        <v>1.7395</v>
      </c>
      <c r="L38" s="1">
        <v>1.1930000000000001</v>
      </c>
      <c r="M38" s="1">
        <v>0.77500000000000002</v>
      </c>
      <c r="N38" s="1">
        <v>1.3129999999999999</v>
      </c>
      <c r="O38" s="1">
        <v>622</v>
      </c>
      <c r="P38" s="1">
        <v>162.80000000000001</v>
      </c>
      <c r="Q38" s="1">
        <v>200</v>
      </c>
      <c r="R38" s="1">
        <v>11.86</v>
      </c>
      <c r="S38" s="1">
        <v>91.3</v>
      </c>
      <c r="T38" s="1">
        <v>9.99</v>
      </c>
      <c r="U38" s="1">
        <v>10.51</v>
      </c>
      <c r="V38" s="1">
        <v>8</v>
      </c>
    </row>
    <row r="39" spans="2:22">
      <c r="B39" s="1">
        <v>10</v>
      </c>
      <c r="C39" s="1">
        <v>0.68095000000000006</v>
      </c>
      <c r="D39" s="108">
        <f t="shared" si="2"/>
        <v>98.76362610000001</v>
      </c>
      <c r="E39" s="1">
        <v>1246.7</v>
      </c>
      <c r="F39" s="1">
        <f t="shared" si="3"/>
        <v>28.81844380403458</v>
      </c>
      <c r="G39" s="1">
        <v>3.4700000000000002E-2</v>
      </c>
      <c r="H39" s="1">
        <v>211.87</v>
      </c>
      <c r="I39" s="1">
        <v>408.56</v>
      </c>
      <c r="J39" s="1">
        <v>1.0422</v>
      </c>
      <c r="K39" s="1">
        <v>1.7367999999999999</v>
      </c>
      <c r="L39" s="1">
        <v>1.1990000000000001</v>
      </c>
      <c r="M39" s="1">
        <v>0.78500000000000003</v>
      </c>
      <c r="N39" s="1">
        <v>1.319</v>
      </c>
      <c r="O39" s="1">
        <v>613</v>
      </c>
      <c r="P39" s="1">
        <v>162.6</v>
      </c>
      <c r="Q39" s="1">
        <v>195.7</v>
      </c>
      <c r="R39" s="1">
        <v>11.96</v>
      </c>
      <c r="S39" s="1">
        <v>90.4</v>
      </c>
      <c r="T39" s="1">
        <v>10.14</v>
      </c>
      <c r="U39" s="1">
        <v>10.220000000000001</v>
      </c>
      <c r="V39" s="1">
        <v>10</v>
      </c>
    </row>
    <row r="40" spans="2:22">
      <c r="B40" s="1">
        <v>12</v>
      </c>
      <c r="C40" s="1">
        <v>0.72285999999999995</v>
      </c>
      <c r="D40" s="108">
        <f t="shared" si="2"/>
        <v>104.84216868</v>
      </c>
      <c r="E40" s="1">
        <v>1239.5</v>
      </c>
      <c r="F40" s="1">
        <f t="shared" si="3"/>
        <v>30.571690614490979</v>
      </c>
      <c r="G40" s="1">
        <v>3.2710000000000003E-2</v>
      </c>
      <c r="H40" s="1">
        <v>214.28</v>
      </c>
      <c r="I40" s="1">
        <v>409.21</v>
      </c>
      <c r="J40" s="1">
        <v>1.0505</v>
      </c>
      <c r="K40" s="1">
        <v>1.7341</v>
      </c>
      <c r="L40" s="1">
        <v>1.206</v>
      </c>
      <c r="M40" s="1">
        <v>0.79500000000000004</v>
      </c>
      <c r="N40" s="1">
        <v>1.3260000000000001</v>
      </c>
      <c r="O40" s="1">
        <v>603</v>
      </c>
      <c r="P40" s="1">
        <v>162.4</v>
      </c>
      <c r="Q40" s="1">
        <v>191.5</v>
      </c>
      <c r="R40" s="1">
        <v>12.05</v>
      </c>
      <c r="S40" s="1">
        <v>89.5</v>
      </c>
      <c r="T40" s="1">
        <v>10.29</v>
      </c>
      <c r="U40" s="1">
        <v>9.93</v>
      </c>
      <c r="V40" s="1">
        <v>12</v>
      </c>
    </row>
    <row r="41" spans="2:22">
      <c r="B41" s="1">
        <v>14</v>
      </c>
      <c r="C41" s="1">
        <v>0.76668000000000003</v>
      </c>
      <c r="D41" s="108">
        <f t="shared" si="2"/>
        <v>111.19773384000001</v>
      </c>
      <c r="E41" s="1">
        <v>1232.2</v>
      </c>
      <c r="F41" s="1">
        <f t="shared" si="3"/>
        <v>32.404406999351913</v>
      </c>
      <c r="G41" s="1">
        <v>3.0859999999999999E-2</v>
      </c>
      <c r="H41" s="1">
        <v>216.7</v>
      </c>
      <c r="I41" s="1">
        <v>409.85</v>
      </c>
      <c r="J41" s="1">
        <v>1.0589</v>
      </c>
      <c r="K41" s="1">
        <v>1.7315</v>
      </c>
      <c r="L41" s="1">
        <v>1.2130000000000001</v>
      </c>
      <c r="M41" s="1">
        <v>0.80600000000000005</v>
      </c>
      <c r="N41" s="1">
        <v>1.333</v>
      </c>
      <c r="O41" s="1">
        <v>594</v>
      </c>
      <c r="P41" s="1">
        <v>162.19999999999999</v>
      </c>
      <c r="Q41" s="1">
        <v>187.3</v>
      </c>
      <c r="R41" s="1">
        <v>12.14</v>
      </c>
      <c r="S41" s="1">
        <v>88.6</v>
      </c>
      <c r="T41" s="1">
        <v>10.45</v>
      </c>
      <c r="U41" s="1">
        <v>9.64</v>
      </c>
      <c r="V41" s="1">
        <v>14</v>
      </c>
    </row>
    <row r="42" spans="2:22">
      <c r="B42" s="1">
        <v>16</v>
      </c>
      <c r="C42" s="1">
        <v>0.81244000000000005</v>
      </c>
      <c r="D42" s="108">
        <f t="shared" si="2"/>
        <v>117.83467272000001</v>
      </c>
      <c r="E42" s="1">
        <v>1224.9000000000001</v>
      </c>
      <c r="F42" s="1">
        <f t="shared" si="3"/>
        <v>34.340659340659343</v>
      </c>
      <c r="G42" s="1">
        <v>2.912E-2</v>
      </c>
      <c r="H42" s="1">
        <v>219.14</v>
      </c>
      <c r="I42" s="1">
        <v>410.47</v>
      </c>
      <c r="J42" s="1">
        <v>1.0671999999999999</v>
      </c>
      <c r="K42" s="1">
        <v>1.7289000000000001</v>
      </c>
      <c r="L42" s="1">
        <v>1.22</v>
      </c>
      <c r="M42" s="1">
        <v>0.81699999999999995</v>
      </c>
      <c r="N42" s="1">
        <v>1.34</v>
      </c>
      <c r="O42" s="1">
        <v>584</v>
      </c>
      <c r="P42" s="1">
        <v>161.9</v>
      </c>
      <c r="Q42" s="1">
        <v>183.2</v>
      </c>
      <c r="R42" s="1">
        <v>12.24</v>
      </c>
      <c r="S42" s="1">
        <v>87.7</v>
      </c>
      <c r="T42" s="1">
        <v>10.61</v>
      </c>
      <c r="U42" s="1">
        <v>9.35</v>
      </c>
      <c r="V42" s="1">
        <v>16</v>
      </c>
    </row>
    <row r="43" spans="2:22">
      <c r="B43" s="1">
        <v>18</v>
      </c>
      <c r="C43" s="1">
        <v>0.86019999999999996</v>
      </c>
      <c r="D43" s="108">
        <f t="shared" si="2"/>
        <v>124.7616876</v>
      </c>
      <c r="E43" s="1">
        <v>1217.4000000000001</v>
      </c>
      <c r="F43" s="1">
        <f t="shared" si="3"/>
        <v>36.363636363636367</v>
      </c>
      <c r="G43" s="1">
        <v>2.75E-2</v>
      </c>
      <c r="H43" s="1">
        <v>221.59</v>
      </c>
      <c r="I43" s="1">
        <v>411.07</v>
      </c>
      <c r="J43" s="1">
        <v>1.0754999999999999</v>
      </c>
      <c r="K43" s="1">
        <v>1.7262999999999999</v>
      </c>
      <c r="L43" s="1">
        <v>1.228</v>
      </c>
      <c r="M43" s="1">
        <v>0.82799999999999996</v>
      </c>
      <c r="N43" s="1">
        <v>1.3480000000000001</v>
      </c>
      <c r="O43" s="1">
        <v>575</v>
      </c>
      <c r="P43" s="1">
        <v>161.6</v>
      </c>
      <c r="Q43" s="1">
        <v>179.2</v>
      </c>
      <c r="R43" s="1">
        <v>12.33</v>
      </c>
      <c r="S43" s="1">
        <v>86.8</v>
      </c>
      <c r="T43" s="1">
        <v>10.77</v>
      </c>
      <c r="U43" s="1">
        <v>9.06</v>
      </c>
      <c r="V43" s="1">
        <v>18</v>
      </c>
    </row>
    <row r="44" spans="2:22">
      <c r="B44" s="1">
        <v>20</v>
      </c>
      <c r="C44" s="1">
        <v>0.91002000000000005</v>
      </c>
      <c r="D44" s="108">
        <f t="shared" si="2"/>
        <v>131.98748076000001</v>
      </c>
      <c r="E44" s="1">
        <v>1209.9000000000001</v>
      </c>
      <c r="F44" s="1">
        <f t="shared" si="3"/>
        <v>38.47633705271258</v>
      </c>
      <c r="G44" s="1">
        <v>2.5989999999999999E-2</v>
      </c>
      <c r="H44" s="1">
        <v>224.06</v>
      </c>
      <c r="I44" s="1">
        <v>411.66</v>
      </c>
      <c r="J44" s="1">
        <v>1.0838000000000001</v>
      </c>
      <c r="K44" s="1">
        <v>1.7238</v>
      </c>
      <c r="L44" s="1">
        <v>1.236</v>
      </c>
      <c r="M44" s="1">
        <v>0.84</v>
      </c>
      <c r="N44" s="1">
        <v>1.357</v>
      </c>
      <c r="O44" s="1">
        <v>565</v>
      </c>
      <c r="P44" s="1">
        <v>161.30000000000001</v>
      </c>
      <c r="Q44" s="1">
        <v>175.3</v>
      </c>
      <c r="R44" s="1">
        <v>12.43</v>
      </c>
      <c r="S44" s="1">
        <v>85.9</v>
      </c>
      <c r="T44" s="1">
        <v>10.95</v>
      </c>
      <c r="U44" s="1">
        <v>8.7799999999999994</v>
      </c>
      <c r="V44" s="1">
        <v>20</v>
      </c>
    </row>
    <row r="45" spans="2:22">
      <c r="B45" s="1">
        <v>22</v>
      </c>
      <c r="C45" s="1">
        <v>0.96194999999999997</v>
      </c>
      <c r="D45" s="108">
        <f t="shared" si="2"/>
        <v>139.5193041</v>
      </c>
      <c r="E45" s="1">
        <v>1202.3</v>
      </c>
      <c r="F45" s="1">
        <f t="shared" si="3"/>
        <v>40.700040700040695</v>
      </c>
      <c r="G45" s="1">
        <v>2.4570000000000002E-2</v>
      </c>
      <c r="H45" s="1">
        <v>226.54</v>
      </c>
      <c r="I45" s="1">
        <v>412.22</v>
      </c>
      <c r="J45" s="1">
        <v>1.0921000000000001</v>
      </c>
      <c r="K45" s="1">
        <v>1.7212000000000001</v>
      </c>
      <c r="L45" s="1">
        <v>1.244</v>
      </c>
      <c r="M45" s="1">
        <v>0.85299999999999998</v>
      </c>
      <c r="N45" s="1">
        <v>1.3660000000000001</v>
      </c>
      <c r="O45" s="1">
        <v>555</v>
      </c>
      <c r="P45" s="1">
        <v>161</v>
      </c>
      <c r="Q45" s="1">
        <v>171.5</v>
      </c>
      <c r="R45" s="1">
        <v>12.53</v>
      </c>
      <c r="S45" s="1">
        <v>85</v>
      </c>
      <c r="T45" s="1">
        <v>11.12</v>
      </c>
      <c r="U45" s="1">
        <v>8.5</v>
      </c>
      <c r="V45" s="1">
        <v>22</v>
      </c>
    </row>
    <row r="46" spans="2:22">
      <c r="B46" s="1">
        <v>24</v>
      </c>
      <c r="C46" s="1">
        <v>1.016</v>
      </c>
      <c r="D46" s="108">
        <f t="shared" si="2"/>
        <v>147.358608</v>
      </c>
      <c r="E46" s="1">
        <v>1194.5999999999999</v>
      </c>
      <c r="F46" s="1">
        <f t="shared" si="3"/>
        <v>43.029259896729776</v>
      </c>
      <c r="G46" s="1">
        <v>2.324E-2</v>
      </c>
      <c r="H46" s="1">
        <v>229.04</v>
      </c>
      <c r="I46" s="1">
        <v>412.77</v>
      </c>
      <c r="J46" s="1">
        <v>1.1004</v>
      </c>
      <c r="K46" s="1">
        <v>1.7186999999999999</v>
      </c>
      <c r="L46" s="1">
        <v>1.252</v>
      </c>
      <c r="M46" s="1">
        <v>0.86599999999999999</v>
      </c>
      <c r="N46" s="1">
        <v>1.375</v>
      </c>
      <c r="O46" s="1">
        <v>546</v>
      </c>
      <c r="P46" s="1">
        <v>160.6</v>
      </c>
      <c r="Q46" s="1">
        <v>167.7</v>
      </c>
      <c r="R46" s="1">
        <v>12.63</v>
      </c>
      <c r="S46" s="1">
        <v>84.1</v>
      </c>
      <c r="T46" s="1">
        <v>11.3</v>
      </c>
      <c r="U46" s="1">
        <v>8.2200000000000006</v>
      </c>
      <c r="V46" s="1">
        <v>24</v>
      </c>
    </row>
    <row r="47" spans="2:22">
      <c r="B47" s="1">
        <v>26</v>
      </c>
      <c r="C47" s="1">
        <v>1.0724</v>
      </c>
      <c r="D47" s="108">
        <f t="shared" si="2"/>
        <v>155.53875120000001</v>
      </c>
      <c r="E47" s="1">
        <v>1186.7</v>
      </c>
      <c r="F47" s="1">
        <f t="shared" si="3"/>
        <v>45.475216007276039</v>
      </c>
      <c r="G47" s="1">
        <v>2.1989999999999999E-2</v>
      </c>
      <c r="H47" s="1">
        <v>231.55</v>
      </c>
      <c r="I47" s="1">
        <v>413.29</v>
      </c>
      <c r="J47" s="1">
        <v>1.1086</v>
      </c>
      <c r="K47" s="1">
        <v>1.7161999999999999</v>
      </c>
      <c r="L47" s="1">
        <v>1.2609999999999999</v>
      </c>
      <c r="M47" s="1">
        <v>0.879</v>
      </c>
      <c r="N47" s="1">
        <v>1.385</v>
      </c>
      <c r="O47" s="1">
        <v>536</v>
      </c>
      <c r="P47" s="1">
        <v>160.19999999999999</v>
      </c>
      <c r="Q47" s="1">
        <v>163.9</v>
      </c>
      <c r="R47" s="1">
        <v>12.74</v>
      </c>
      <c r="S47" s="1">
        <v>83.2</v>
      </c>
      <c r="T47" s="1">
        <v>11.49</v>
      </c>
      <c r="U47" s="1">
        <v>7.94</v>
      </c>
      <c r="V47" s="1">
        <v>26</v>
      </c>
    </row>
    <row r="48" spans="2:22">
      <c r="B48" s="1">
        <v>28</v>
      </c>
      <c r="C48" s="1">
        <v>1.1309</v>
      </c>
      <c r="D48" s="108">
        <f t="shared" si="2"/>
        <v>164.02347420000001</v>
      </c>
      <c r="E48" s="1">
        <v>1178.8</v>
      </c>
      <c r="F48" s="1">
        <f t="shared" si="3"/>
        <v>48.030739673390968</v>
      </c>
      <c r="G48" s="1">
        <v>2.0820000000000002E-2</v>
      </c>
      <c r="H48" s="1">
        <v>234.08</v>
      </c>
      <c r="I48" s="1">
        <v>413.79</v>
      </c>
      <c r="J48" s="1">
        <v>1.1169</v>
      </c>
      <c r="K48" s="1">
        <v>1.7136</v>
      </c>
      <c r="L48" s="1">
        <v>1.2709999999999999</v>
      </c>
      <c r="M48" s="1">
        <v>0.89300000000000002</v>
      </c>
      <c r="N48" s="1">
        <v>1.3959999999999999</v>
      </c>
      <c r="O48" s="1">
        <v>527</v>
      </c>
      <c r="P48" s="1">
        <v>159.69999999999999</v>
      </c>
      <c r="Q48" s="1">
        <v>160.30000000000001</v>
      </c>
      <c r="R48" s="1">
        <v>12.84</v>
      </c>
      <c r="S48" s="1">
        <v>82.3</v>
      </c>
      <c r="T48" s="1">
        <v>11.69</v>
      </c>
      <c r="U48" s="1">
        <v>7.66</v>
      </c>
      <c r="V48" s="1">
        <v>28</v>
      </c>
    </row>
    <row r="49" spans="2:22">
      <c r="B49" s="1">
        <v>30</v>
      </c>
      <c r="C49" s="1">
        <v>1.1919</v>
      </c>
      <c r="D49" s="108">
        <f t="shared" si="2"/>
        <v>172.87079220000001</v>
      </c>
      <c r="E49" s="1">
        <v>1170.7</v>
      </c>
      <c r="F49" s="1">
        <f t="shared" si="3"/>
        <v>50.709939148073019</v>
      </c>
      <c r="G49" s="1">
        <v>1.9720000000000001E-2</v>
      </c>
      <c r="H49" s="1">
        <v>236.62</v>
      </c>
      <c r="I49" s="1">
        <v>414.26</v>
      </c>
      <c r="J49" s="1">
        <v>1.1252</v>
      </c>
      <c r="K49" s="1">
        <v>1.7111000000000001</v>
      </c>
      <c r="L49" s="1">
        <v>1.2809999999999999</v>
      </c>
      <c r="M49" s="1">
        <v>0.90800000000000003</v>
      </c>
      <c r="N49" s="1">
        <v>1.4079999999999999</v>
      </c>
      <c r="O49" s="1">
        <v>517</v>
      </c>
      <c r="P49" s="1">
        <v>159.19999999999999</v>
      </c>
      <c r="Q49" s="1">
        <v>156.69999999999999</v>
      </c>
      <c r="R49" s="1">
        <v>12.95</v>
      </c>
      <c r="S49" s="1">
        <v>81.400000000000006</v>
      </c>
      <c r="T49" s="1">
        <v>11.89</v>
      </c>
      <c r="U49" s="1">
        <v>7.38</v>
      </c>
      <c r="V49" s="1">
        <v>30</v>
      </c>
    </row>
    <row r="50" spans="2:22">
      <c r="B50" s="1">
        <v>32</v>
      </c>
      <c r="C50" s="1">
        <v>1.2552000000000001</v>
      </c>
      <c r="D50" s="108">
        <f t="shared" si="2"/>
        <v>182.05169760000004</v>
      </c>
      <c r="E50" s="1">
        <v>1162.5999999999999</v>
      </c>
      <c r="F50" s="1">
        <f t="shared" si="3"/>
        <v>53.504547886570364</v>
      </c>
      <c r="G50" s="1">
        <v>1.8689999999999998E-2</v>
      </c>
      <c r="H50" s="1">
        <v>239.19</v>
      </c>
      <c r="I50" s="1">
        <v>414.71</v>
      </c>
      <c r="J50" s="1">
        <v>1.1334</v>
      </c>
      <c r="K50" s="1">
        <v>1.7085999999999999</v>
      </c>
      <c r="L50" s="1">
        <v>1.2909999999999999</v>
      </c>
      <c r="M50" s="1">
        <v>0.92400000000000004</v>
      </c>
      <c r="N50" s="1">
        <v>1.42</v>
      </c>
      <c r="O50" s="1">
        <v>507</v>
      </c>
      <c r="P50" s="1">
        <v>158.69999999999999</v>
      </c>
      <c r="Q50" s="1">
        <v>153.1</v>
      </c>
      <c r="R50" s="1">
        <v>13.06</v>
      </c>
      <c r="S50" s="1">
        <v>80.5</v>
      </c>
      <c r="T50" s="1">
        <v>12.1</v>
      </c>
      <c r="U50" s="1">
        <v>7.11</v>
      </c>
      <c r="V50" s="1">
        <v>32</v>
      </c>
    </row>
    <row r="51" spans="2:22">
      <c r="B51" s="1">
        <v>34</v>
      </c>
      <c r="C51" s="1">
        <v>1.321</v>
      </c>
      <c r="D51" s="108">
        <f t="shared" si="2"/>
        <v>191.59519800000001</v>
      </c>
      <c r="E51" s="1">
        <v>1154.3</v>
      </c>
      <c r="F51" s="1">
        <f t="shared" si="3"/>
        <v>56.465273856578207</v>
      </c>
      <c r="G51" s="1">
        <v>1.771E-2</v>
      </c>
      <c r="H51" s="1">
        <v>241.77</v>
      </c>
      <c r="I51" s="1">
        <v>415.14</v>
      </c>
      <c r="J51" s="1">
        <v>1.1416999999999999</v>
      </c>
      <c r="K51" s="1">
        <v>1.7060999999999999</v>
      </c>
      <c r="L51" s="1">
        <v>1.302</v>
      </c>
      <c r="M51" s="1">
        <v>0.94</v>
      </c>
      <c r="N51" s="1">
        <v>1.4339999999999999</v>
      </c>
      <c r="O51" s="1">
        <v>497</v>
      </c>
      <c r="P51" s="1">
        <v>158.19999999999999</v>
      </c>
      <c r="Q51" s="1">
        <v>149.6</v>
      </c>
      <c r="R51" s="1">
        <v>13.17</v>
      </c>
      <c r="S51" s="1">
        <v>79.599999999999994</v>
      </c>
      <c r="T51" s="1">
        <v>12.31</v>
      </c>
      <c r="U51" s="1">
        <v>6.84</v>
      </c>
      <c r="V51" s="1">
        <v>34</v>
      </c>
    </row>
    <row r="52" spans="2:22">
      <c r="B52" s="1">
        <v>36</v>
      </c>
      <c r="C52" s="1">
        <v>1.3892</v>
      </c>
      <c r="D52" s="108">
        <f t="shared" si="2"/>
        <v>201.48678960000001</v>
      </c>
      <c r="E52" s="1">
        <v>1145.8</v>
      </c>
      <c r="F52" s="1">
        <f t="shared" si="3"/>
        <v>59.559261465157832</v>
      </c>
      <c r="G52" s="1">
        <v>1.6789999999999999E-2</v>
      </c>
      <c r="H52" s="1">
        <v>244.38</v>
      </c>
      <c r="I52" s="1">
        <v>415.54</v>
      </c>
      <c r="J52" s="1">
        <v>1.1498999999999999</v>
      </c>
      <c r="K52" s="1">
        <v>1.7036</v>
      </c>
      <c r="L52" s="1">
        <v>1.3140000000000001</v>
      </c>
      <c r="M52" s="1">
        <v>0.95699999999999996</v>
      </c>
      <c r="N52" s="1">
        <v>1.448</v>
      </c>
      <c r="O52" s="1">
        <v>487</v>
      </c>
      <c r="P52" s="1">
        <v>157.6</v>
      </c>
      <c r="Q52" s="1">
        <v>146.1</v>
      </c>
      <c r="R52" s="1">
        <v>13.28</v>
      </c>
      <c r="S52" s="1">
        <v>78.7</v>
      </c>
      <c r="T52" s="1">
        <v>12.54</v>
      </c>
      <c r="U52" s="1">
        <v>6.57</v>
      </c>
      <c r="V52" s="1">
        <v>36</v>
      </c>
    </row>
    <row r="53" spans="2:22">
      <c r="B53" s="1">
        <v>38</v>
      </c>
      <c r="C53" s="1">
        <v>1.4601</v>
      </c>
      <c r="D53" s="108">
        <f t="shared" si="2"/>
        <v>211.76998380000001</v>
      </c>
      <c r="E53" s="1">
        <v>1137.3</v>
      </c>
      <c r="F53" s="1">
        <f t="shared" si="3"/>
        <v>62.774639045825488</v>
      </c>
      <c r="G53" s="1">
        <v>1.593E-2</v>
      </c>
      <c r="H53" s="1">
        <v>247</v>
      </c>
      <c r="I53" s="1">
        <v>415.91</v>
      </c>
      <c r="J53" s="1">
        <v>1.1581999999999999</v>
      </c>
      <c r="K53" s="1">
        <v>1.7010000000000001</v>
      </c>
      <c r="L53" s="1">
        <v>1.3260000000000001</v>
      </c>
      <c r="M53" s="1">
        <v>0.97599999999999998</v>
      </c>
      <c r="N53" s="1">
        <v>1.4630000000000001</v>
      </c>
      <c r="O53" s="1">
        <v>478</v>
      </c>
      <c r="P53" s="1">
        <v>157</v>
      </c>
      <c r="Q53" s="1">
        <v>142.69999999999999</v>
      </c>
      <c r="R53" s="1">
        <v>13.4</v>
      </c>
      <c r="S53" s="1">
        <v>77.8</v>
      </c>
      <c r="T53" s="1">
        <v>12.77</v>
      </c>
      <c r="U53" s="1">
        <v>6.3</v>
      </c>
      <c r="V53" s="1">
        <v>38</v>
      </c>
    </row>
    <row r="54" spans="2:22">
      <c r="B54" s="1">
        <v>40</v>
      </c>
      <c r="C54" s="1">
        <v>1.5336000000000001</v>
      </c>
      <c r="D54" s="108">
        <f t="shared" si="2"/>
        <v>222.43027680000003</v>
      </c>
      <c r="E54" s="1">
        <v>1128.5</v>
      </c>
      <c r="F54" s="1">
        <f t="shared" si="3"/>
        <v>66.181336863004631</v>
      </c>
      <c r="G54" s="1">
        <v>1.511E-2</v>
      </c>
      <c r="H54" s="1">
        <v>249.65</v>
      </c>
      <c r="I54" s="1">
        <v>416.25</v>
      </c>
      <c r="J54" s="1">
        <v>1.1665000000000001</v>
      </c>
      <c r="K54" s="1">
        <v>1.6984999999999999</v>
      </c>
      <c r="L54" s="1">
        <v>1.339</v>
      </c>
      <c r="M54" s="1">
        <v>0.995</v>
      </c>
      <c r="N54" s="1">
        <v>1.48</v>
      </c>
      <c r="O54" s="1">
        <v>468</v>
      </c>
      <c r="P54" s="1">
        <v>156.4</v>
      </c>
      <c r="Q54" s="1">
        <v>139.4</v>
      </c>
      <c r="R54" s="1">
        <v>13.52</v>
      </c>
      <c r="S54" s="1">
        <v>76.900000000000006</v>
      </c>
      <c r="T54" s="1">
        <v>13.02</v>
      </c>
      <c r="U54" s="1">
        <v>6.04</v>
      </c>
      <c r="V54" s="1">
        <v>40</v>
      </c>
    </row>
    <row r="55" spans="2:22">
      <c r="B55" s="1">
        <v>42</v>
      </c>
      <c r="C55" s="1">
        <v>1.6097999999999999</v>
      </c>
      <c r="D55" s="108">
        <f t="shared" si="2"/>
        <v>233.4821724</v>
      </c>
      <c r="E55" s="1">
        <v>1119.5999999999999</v>
      </c>
      <c r="F55" s="1">
        <f t="shared" si="3"/>
        <v>69.783670621074663</v>
      </c>
      <c r="G55" s="1">
        <v>1.4330000000000001E-2</v>
      </c>
      <c r="H55" s="1">
        <v>252.32</v>
      </c>
      <c r="I55" s="1">
        <v>416.55</v>
      </c>
      <c r="J55" s="1">
        <v>1.1747000000000001</v>
      </c>
      <c r="K55" s="1">
        <v>1.6959</v>
      </c>
      <c r="L55" s="1">
        <v>1.353</v>
      </c>
      <c r="M55" s="1">
        <v>1.0149999999999999</v>
      </c>
      <c r="N55" s="1">
        <v>1.498</v>
      </c>
      <c r="O55" s="1">
        <v>458</v>
      </c>
      <c r="P55" s="1">
        <v>155.69999999999999</v>
      </c>
      <c r="Q55" s="1">
        <v>136.1</v>
      </c>
      <c r="R55" s="1">
        <v>13.64</v>
      </c>
      <c r="S55" s="1">
        <v>76</v>
      </c>
      <c r="T55" s="1">
        <v>13.28</v>
      </c>
      <c r="U55" s="1">
        <v>5.77</v>
      </c>
      <c r="V55" s="1">
        <v>42</v>
      </c>
    </row>
    <row r="56" spans="2:22">
      <c r="B56" s="1">
        <v>44</v>
      </c>
      <c r="C56" s="1">
        <v>1.6887000000000001</v>
      </c>
      <c r="D56" s="108">
        <f t="shared" si="2"/>
        <v>244.92567060000002</v>
      </c>
      <c r="E56" s="1">
        <v>1110.5999999999999</v>
      </c>
      <c r="F56" s="1">
        <f t="shared" si="3"/>
        <v>73.529411764705884</v>
      </c>
      <c r="G56" s="1">
        <v>1.3599999999999999E-2</v>
      </c>
      <c r="H56" s="1">
        <v>255.01</v>
      </c>
      <c r="I56" s="1">
        <v>416.83</v>
      </c>
      <c r="J56" s="1">
        <v>1.1830000000000001</v>
      </c>
      <c r="K56" s="1">
        <v>1.6933</v>
      </c>
      <c r="L56" s="1">
        <v>1.3680000000000001</v>
      </c>
      <c r="M56" s="1">
        <v>1.0369999999999999</v>
      </c>
      <c r="N56" s="1">
        <v>1.5169999999999999</v>
      </c>
      <c r="O56" s="1">
        <v>448</v>
      </c>
      <c r="P56" s="1">
        <v>155</v>
      </c>
      <c r="Q56" s="1">
        <v>132.80000000000001</v>
      </c>
      <c r="R56" s="1">
        <v>13.77</v>
      </c>
      <c r="S56" s="1">
        <v>75.099999999999994</v>
      </c>
      <c r="T56" s="1">
        <v>13.55</v>
      </c>
      <c r="U56" s="1">
        <v>5.51</v>
      </c>
      <c r="V56" s="1">
        <v>44</v>
      </c>
    </row>
    <row r="57" spans="2:22">
      <c r="B57" s="1">
        <v>46</v>
      </c>
      <c r="C57" s="1">
        <v>1.7704</v>
      </c>
      <c r="D57" s="108">
        <f t="shared" si="2"/>
        <v>256.77527520000001</v>
      </c>
      <c r="E57" s="1">
        <v>1101.4000000000001</v>
      </c>
      <c r="F57" s="1">
        <f t="shared" si="3"/>
        <v>77.459333849728893</v>
      </c>
      <c r="G57" s="1">
        <v>1.291E-2</v>
      </c>
      <c r="H57" s="1">
        <v>257.73</v>
      </c>
      <c r="I57" s="1">
        <v>417.07</v>
      </c>
      <c r="J57" s="1">
        <v>1.1913</v>
      </c>
      <c r="K57" s="1">
        <v>1.6906000000000001</v>
      </c>
      <c r="L57" s="1">
        <v>1.3839999999999999</v>
      </c>
      <c r="M57" s="1">
        <v>1.0609999999999999</v>
      </c>
      <c r="N57" s="1">
        <v>1.538</v>
      </c>
      <c r="O57" s="1">
        <v>437</v>
      </c>
      <c r="P57" s="1">
        <v>154.19999999999999</v>
      </c>
      <c r="Q57" s="1">
        <v>129.5</v>
      </c>
      <c r="R57" s="1">
        <v>13.9</v>
      </c>
      <c r="S57" s="1">
        <v>74.099999999999994</v>
      </c>
      <c r="T57" s="1">
        <v>13.83</v>
      </c>
      <c r="U57" s="1">
        <v>5.25</v>
      </c>
      <c r="V57" s="1">
        <v>46</v>
      </c>
    </row>
    <row r="58" spans="2:22">
      <c r="B58" s="1">
        <v>48</v>
      </c>
      <c r="C58" s="1">
        <v>1.8551</v>
      </c>
      <c r="D58" s="108">
        <f t="shared" si="2"/>
        <v>269.05999380000003</v>
      </c>
      <c r="E58" s="1">
        <v>1091.9000000000001</v>
      </c>
      <c r="F58" s="1">
        <f t="shared" si="3"/>
        <v>81.566068515497548</v>
      </c>
      <c r="G58" s="1">
        <v>1.226E-2</v>
      </c>
      <c r="H58" s="1">
        <v>260.47000000000003</v>
      </c>
      <c r="I58" s="1">
        <v>417.27</v>
      </c>
      <c r="J58" s="1">
        <v>1.1997</v>
      </c>
      <c r="K58" s="1">
        <v>1.6879</v>
      </c>
      <c r="L58" s="1">
        <v>1.401</v>
      </c>
      <c r="M58" s="1">
        <v>1.0860000000000001</v>
      </c>
      <c r="N58" s="1">
        <v>1.5609999999999999</v>
      </c>
      <c r="O58" s="1">
        <v>427</v>
      </c>
      <c r="P58" s="1">
        <v>153.4</v>
      </c>
      <c r="Q58" s="1">
        <v>126.3</v>
      </c>
      <c r="R58" s="1">
        <v>14.04</v>
      </c>
      <c r="S58" s="1">
        <v>73.2</v>
      </c>
      <c r="T58" s="1">
        <v>14.13</v>
      </c>
      <c r="U58" s="1">
        <v>5</v>
      </c>
      <c r="V58" s="1">
        <v>48</v>
      </c>
    </row>
    <row r="59" spans="2:22">
      <c r="B59" s="1">
        <v>50</v>
      </c>
      <c r="C59" s="1">
        <v>1.9427000000000001</v>
      </c>
      <c r="D59" s="108">
        <f t="shared" si="2"/>
        <v>281.76532260000005</v>
      </c>
      <c r="E59" s="1">
        <v>1082.3</v>
      </c>
      <c r="F59" s="1">
        <f t="shared" si="3"/>
        <v>85.984522785898534</v>
      </c>
      <c r="G59" s="1">
        <v>1.163E-2</v>
      </c>
      <c r="H59" s="1">
        <v>263.25</v>
      </c>
      <c r="I59" s="1">
        <v>417.44</v>
      </c>
      <c r="J59" s="1">
        <v>1.208</v>
      </c>
      <c r="K59" s="1">
        <v>1.6852</v>
      </c>
      <c r="L59" s="1">
        <v>1.419</v>
      </c>
      <c r="M59" s="1">
        <v>1.113</v>
      </c>
      <c r="N59" s="1">
        <v>1.5860000000000001</v>
      </c>
      <c r="O59" s="1">
        <v>417</v>
      </c>
      <c r="P59" s="1">
        <v>152.6</v>
      </c>
      <c r="Q59" s="1">
        <v>123.1</v>
      </c>
      <c r="R59" s="1">
        <v>14.18</v>
      </c>
      <c r="S59" s="1">
        <v>72.3</v>
      </c>
      <c r="T59" s="1">
        <v>14.45</v>
      </c>
      <c r="U59" s="1">
        <v>4.74</v>
      </c>
      <c r="V59" s="1">
        <v>50</v>
      </c>
    </row>
    <row r="60" spans="2:22">
      <c r="B60" s="1">
        <v>52</v>
      </c>
      <c r="C60" s="1">
        <v>2.0333000000000001</v>
      </c>
      <c r="D60" s="108">
        <f t="shared" si="2"/>
        <v>294.90576540000006</v>
      </c>
      <c r="E60" s="1">
        <v>1072.4000000000001</v>
      </c>
      <c r="F60" s="1">
        <f t="shared" si="3"/>
        <v>90.579710144927546</v>
      </c>
      <c r="G60" s="1">
        <v>1.1039999999999999E-2</v>
      </c>
      <c r="H60" s="1">
        <v>266.05</v>
      </c>
      <c r="I60" s="1">
        <v>417.56</v>
      </c>
      <c r="J60" s="1">
        <v>1.2163999999999999</v>
      </c>
      <c r="K60" s="1">
        <v>1.6823999999999999</v>
      </c>
      <c r="L60" s="1">
        <v>1.4390000000000001</v>
      </c>
      <c r="M60" s="1">
        <v>1.1419999999999999</v>
      </c>
      <c r="N60" s="1">
        <v>1.6140000000000001</v>
      </c>
      <c r="O60" s="1">
        <v>407</v>
      </c>
      <c r="P60" s="1">
        <v>151.69999999999999</v>
      </c>
      <c r="Q60" s="1">
        <v>120</v>
      </c>
      <c r="R60" s="1">
        <v>14.32</v>
      </c>
      <c r="S60" s="1">
        <v>71.400000000000006</v>
      </c>
      <c r="T60" s="1">
        <v>14.78</v>
      </c>
      <c r="U60" s="1">
        <v>4.49</v>
      </c>
      <c r="V60" s="1">
        <v>52</v>
      </c>
    </row>
    <row r="61" spans="2:22">
      <c r="B61" s="1">
        <v>54</v>
      </c>
      <c r="C61" s="1">
        <v>2.1269999999999998</v>
      </c>
      <c r="D61" s="108">
        <f t="shared" si="2"/>
        <v>308.49582599999997</v>
      </c>
      <c r="E61" s="1">
        <v>1062.3</v>
      </c>
      <c r="F61" s="1">
        <f t="shared" si="3"/>
        <v>95.419847328244273</v>
      </c>
      <c r="G61" s="1">
        <v>1.048E-2</v>
      </c>
      <c r="H61" s="1">
        <v>268.89</v>
      </c>
      <c r="I61" s="1">
        <v>417.63</v>
      </c>
      <c r="J61" s="1">
        <v>1.2248000000000001</v>
      </c>
      <c r="K61" s="1">
        <v>1.6795</v>
      </c>
      <c r="L61" s="1">
        <v>1.4610000000000001</v>
      </c>
      <c r="M61" s="1">
        <v>1.173</v>
      </c>
      <c r="N61" s="1">
        <v>1.6439999999999999</v>
      </c>
      <c r="O61" s="1">
        <v>396</v>
      </c>
      <c r="P61" s="1">
        <v>150.80000000000001</v>
      </c>
      <c r="Q61" s="1">
        <v>116.9</v>
      </c>
      <c r="R61" s="1">
        <v>14.47</v>
      </c>
      <c r="S61" s="1">
        <v>70.400000000000006</v>
      </c>
      <c r="T61" s="1">
        <v>15.14</v>
      </c>
      <c r="U61" s="1">
        <v>4.24</v>
      </c>
      <c r="V61" s="1">
        <v>54</v>
      </c>
    </row>
    <row r="62" spans="2:22">
      <c r="B62" s="1">
        <v>56</v>
      </c>
      <c r="C62" s="1">
        <v>2.2239</v>
      </c>
      <c r="D62" s="108">
        <f t="shared" si="2"/>
        <v>322.55000820000004</v>
      </c>
      <c r="E62" s="1">
        <v>1052</v>
      </c>
      <c r="F62" s="1">
        <f t="shared" si="3"/>
        <v>100.50251256281406</v>
      </c>
      <c r="G62" s="1">
        <v>9.9500000000000005E-3</v>
      </c>
      <c r="H62" s="1">
        <v>271.76</v>
      </c>
      <c r="I62" s="1">
        <v>417.66</v>
      </c>
      <c r="J62" s="1">
        <v>1.2333000000000001</v>
      </c>
      <c r="K62" s="1">
        <v>1.6766000000000001</v>
      </c>
      <c r="L62" s="1">
        <v>1.4850000000000001</v>
      </c>
      <c r="M62" s="1">
        <v>1.208</v>
      </c>
      <c r="N62" s="1">
        <v>1.677</v>
      </c>
      <c r="O62" s="1">
        <v>386</v>
      </c>
      <c r="P62" s="1">
        <v>149.80000000000001</v>
      </c>
      <c r="Q62" s="1">
        <v>113.8</v>
      </c>
      <c r="R62" s="1">
        <v>14.63</v>
      </c>
      <c r="S62" s="1">
        <v>69.5</v>
      </c>
      <c r="T62" s="1">
        <v>15.52</v>
      </c>
      <c r="U62" s="1">
        <v>4</v>
      </c>
      <c r="V62" s="1">
        <v>56</v>
      </c>
    </row>
    <row r="63" spans="2:22">
      <c r="B63" s="1">
        <v>58</v>
      </c>
      <c r="C63" s="1">
        <v>2.3239999999999998</v>
      </c>
      <c r="D63" s="108">
        <f t="shared" si="2"/>
        <v>337.06831199999999</v>
      </c>
      <c r="E63" s="1">
        <v>1041.3</v>
      </c>
      <c r="F63" s="1">
        <f t="shared" si="3"/>
        <v>105.93220338983051</v>
      </c>
      <c r="G63" s="1">
        <v>9.4400000000000005E-3</v>
      </c>
      <c r="H63" s="1">
        <v>274.66000000000003</v>
      </c>
      <c r="I63" s="1">
        <v>417.63</v>
      </c>
      <c r="J63" s="1">
        <v>1.2418</v>
      </c>
      <c r="K63" s="1">
        <v>1.6736</v>
      </c>
      <c r="L63" s="1">
        <v>1.5109999999999999</v>
      </c>
      <c r="M63" s="1">
        <v>1.246</v>
      </c>
      <c r="N63" s="1">
        <v>1.714</v>
      </c>
      <c r="O63" s="1">
        <v>375</v>
      </c>
      <c r="P63" s="1">
        <v>148.80000000000001</v>
      </c>
      <c r="Q63" s="1">
        <v>110.7</v>
      </c>
      <c r="R63" s="1">
        <v>14.8</v>
      </c>
      <c r="S63" s="1">
        <v>68.599999999999994</v>
      </c>
      <c r="T63" s="1">
        <v>15.92</v>
      </c>
      <c r="U63" s="1">
        <v>3.75</v>
      </c>
      <c r="V63" s="1">
        <v>58</v>
      </c>
    </row>
    <row r="64" spans="2:22">
      <c r="B64" s="1">
        <v>60</v>
      </c>
      <c r="C64" s="1">
        <v>2.4275000000000002</v>
      </c>
      <c r="D64" s="108">
        <f t="shared" si="2"/>
        <v>352.07974500000006</v>
      </c>
      <c r="E64" s="1">
        <v>1030.4000000000001</v>
      </c>
      <c r="F64" s="1">
        <f t="shared" si="3"/>
        <v>111.60714285714286</v>
      </c>
      <c r="G64" s="1">
        <v>8.9599999999999992E-3</v>
      </c>
      <c r="H64" s="1">
        <v>277.61</v>
      </c>
      <c r="I64" s="1">
        <v>417.55</v>
      </c>
      <c r="J64" s="1">
        <v>1.2504</v>
      </c>
      <c r="K64" s="1">
        <v>1.6705000000000001</v>
      </c>
      <c r="L64" s="1">
        <v>1.5389999999999999</v>
      </c>
      <c r="M64" s="1">
        <v>1.2869999999999999</v>
      </c>
      <c r="N64" s="1">
        <v>1.7549999999999999</v>
      </c>
      <c r="O64" s="1">
        <v>364</v>
      </c>
      <c r="P64" s="1">
        <v>147.69999999999999</v>
      </c>
      <c r="Q64" s="1">
        <v>107.6</v>
      </c>
      <c r="R64" s="1">
        <v>14.98</v>
      </c>
      <c r="S64" s="1">
        <v>67.599999999999994</v>
      </c>
      <c r="T64" s="1">
        <v>16.36</v>
      </c>
      <c r="U64" s="1">
        <v>3.51</v>
      </c>
      <c r="V64" s="1">
        <v>60</v>
      </c>
    </row>
    <row r="65" spans="1:22">
      <c r="B65" s="1">
        <v>65</v>
      </c>
      <c r="C65" s="1">
        <v>2.7012</v>
      </c>
      <c r="D65" s="108">
        <f t="shared" si="2"/>
        <v>391.77664560000005</v>
      </c>
      <c r="E65" s="1">
        <v>1001.4</v>
      </c>
      <c r="F65" s="1">
        <f t="shared" si="3"/>
        <v>127.38853503184714</v>
      </c>
      <c r="G65" s="1">
        <v>7.8499999999999993E-3</v>
      </c>
      <c r="H65" s="1">
        <v>285.18</v>
      </c>
      <c r="I65" s="1">
        <v>417.06</v>
      </c>
      <c r="J65" s="1">
        <v>1.2722</v>
      </c>
      <c r="K65" s="1">
        <v>1.6621999999999999</v>
      </c>
      <c r="L65" s="1">
        <v>1.6259999999999999</v>
      </c>
      <c r="M65" s="1">
        <v>1.413</v>
      </c>
      <c r="N65" s="1">
        <v>1.881</v>
      </c>
      <c r="O65" s="1">
        <v>337</v>
      </c>
      <c r="P65" s="1">
        <v>144.9</v>
      </c>
      <c r="Q65" s="1">
        <v>100</v>
      </c>
      <c r="R65" s="1">
        <v>15.46</v>
      </c>
      <c r="S65" s="1">
        <v>65.3</v>
      </c>
      <c r="T65" s="1">
        <v>17.61</v>
      </c>
      <c r="U65" s="1">
        <v>2.92</v>
      </c>
      <c r="V65" s="1">
        <v>65</v>
      </c>
    </row>
    <row r="66" spans="1:22">
      <c r="B66" s="1">
        <v>70</v>
      </c>
      <c r="C66" s="1">
        <v>2.9973999999999998</v>
      </c>
      <c r="D66" s="108">
        <f t="shared" si="2"/>
        <v>434.73690120000003</v>
      </c>
      <c r="E66" s="1">
        <v>969.7</v>
      </c>
      <c r="F66" s="1">
        <f t="shared" si="3"/>
        <v>145.98540145985402</v>
      </c>
      <c r="G66" s="1">
        <v>6.8500000000000002E-3</v>
      </c>
      <c r="H66" s="1">
        <v>293.10000000000002</v>
      </c>
      <c r="I66" s="1">
        <v>416.09</v>
      </c>
      <c r="J66" s="1">
        <v>1.2945</v>
      </c>
      <c r="K66" s="1">
        <v>1.6529</v>
      </c>
      <c r="L66" s="1">
        <v>1.7430000000000001</v>
      </c>
      <c r="M66" s="1">
        <v>1.5840000000000001</v>
      </c>
      <c r="N66" s="1">
        <v>2.056</v>
      </c>
      <c r="O66" s="1">
        <v>309</v>
      </c>
      <c r="P66" s="1">
        <v>141.69999999999999</v>
      </c>
      <c r="Q66" s="1">
        <v>92.4</v>
      </c>
      <c r="R66" s="1">
        <v>16.02</v>
      </c>
      <c r="S66" s="1">
        <v>62.9</v>
      </c>
      <c r="T66" s="1">
        <v>19.16</v>
      </c>
      <c r="U66" s="1">
        <v>2.36</v>
      </c>
      <c r="V66" s="1">
        <v>70</v>
      </c>
    </row>
    <row r="67" spans="1:22">
      <c r="B67" s="1">
        <v>75</v>
      </c>
      <c r="C67" s="1">
        <v>3.3176999999999999</v>
      </c>
      <c r="D67" s="108">
        <f t="shared" ref="D67:D72" si="4">C67*145.038</f>
        <v>481.19257260000001</v>
      </c>
      <c r="E67" s="1">
        <v>934.4</v>
      </c>
      <c r="F67" s="1">
        <f t="shared" ref="F67:F72" si="5">1/G67</f>
        <v>168.0672268907563</v>
      </c>
      <c r="G67" s="1">
        <v>5.9500000000000004E-3</v>
      </c>
      <c r="H67" s="1">
        <v>301.45999999999998</v>
      </c>
      <c r="I67" s="1">
        <v>414.49</v>
      </c>
      <c r="J67" s="1">
        <v>1.3177000000000001</v>
      </c>
      <c r="K67" s="1">
        <v>1.6424000000000001</v>
      </c>
      <c r="L67" s="1">
        <v>1.913</v>
      </c>
      <c r="M67" s="1">
        <v>1.8320000000000001</v>
      </c>
      <c r="N67" s="1">
        <v>2.3149999999999999</v>
      </c>
      <c r="O67" s="1">
        <v>280</v>
      </c>
      <c r="P67" s="1">
        <v>138.1</v>
      </c>
      <c r="Q67" s="1">
        <v>84.6</v>
      </c>
      <c r="R67" s="1">
        <v>16.7</v>
      </c>
      <c r="S67" s="1">
        <v>60.6</v>
      </c>
      <c r="T67" s="1">
        <v>21.16</v>
      </c>
      <c r="U67" s="1">
        <v>1.82</v>
      </c>
      <c r="V67" s="1">
        <v>75</v>
      </c>
    </row>
    <row r="68" spans="1:22">
      <c r="B68" s="1">
        <v>80</v>
      </c>
      <c r="C68" s="1">
        <v>3.6638000000000002</v>
      </c>
      <c r="D68" s="108">
        <f t="shared" si="4"/>
        <v>531.39022440000008</v>
      </c>
      <c r="E68" s="1">
        <v>893.7</v>
      </c>
      <c r="F68" s="1">
        <f t="shared" si="5"/>
        <v>195.31249999999997</v>
      </c>
      <c r="G68" s="1">
        <v>5.1200000000000004E-3</v>
      </c>
      <c r="H68" s="1">
        <v>310.44</v>
      </c>
      <c r="I68" s="1">
        <v>412.01</v>
      </c>
      <c r="J68" s="1">
        <v>1.3423</v>
      </c>
      <c r="K68" s="1">
        <v>1.6298999999999999</v>
      </c>
      <c r="L68" s="1">
        <v>2.181</v>
      </c>
      <c r="M68" s="1">
        <v>2.2309999999999999</v>
      </c>
      <c r="N68" s="1">
        <v>2.7349999999999999</v>
      </c>
      <c r="O68" s="1">
        <v>249</v>
      </c>
      <c r="P68" s="1">
        <v>134.19999999999999</v>
      </c>
      <c r="Q68" s="1">
        <v>76.599999999999994</v>
      </c>
      <c r="R68" s="1">
        <v>17.55</v>
      </c>
      <c r="S68" s="1">
        <v>58.6</v>
      </c>
      <c r="T68" s="1">
        <v>23.87</v>
      </c>
      <c r="U68" s="1">
        <v>1.3</v>
      </c>
      <c r="V68" s="1">
        <v>80</v>
      </c>
    </row>
    <row r="69" spans="1:22">
      <c r="B69" s="1">
        <v>85</v>
      </c>
      <c r="C69" s="1">
        <v>4.0377999999999998</v>
      </c>
      <c r="D69" s="108">
        <f t="shared" si="4"/>
        <v>585.63443640000003</v>
      </c>
      <c r="E69" s="1">
        <v>844.8</v>
      </c>
      <c r="F69" s="1">
        <f t="shared" si="5"/>
        <v>230.41474654377879</v>
      </c>
      <c r="G69" s="1">
        <v>4.3400000000000001E-3</v>
      </c>
      <c r="H69" s="1">
        <v>320.38</v>
      </c>
      <c r="I69" s="1">
        <v>408.19</v>
      </c>
      <c r="J69" s="1">
        <v>1.369</v>
      </c>
      <c r="K69" s="1">
        <v>1.6142000000000001</v>
      </c>
      <c r="L69" s="1">
        <v>2.6819999999999999</v>
      </c>
      <c r="M69" s="1">
        <v>2.984</v>
      </c>
      <c r="N69" s="1">
        <v>3.532</v>
      </c>
      <c r="O69" s="1">
        <v>215</v>
      </c>
      <c r="P69" s="1">
        <v>129.69999999999999</v>
      </c>
      <c r="Q69" s="1">
        <v>68.099999999999994</v>
      </c>
      <c r="R69" s="1">
        <v>18.71</v>
      </c>
      <c r="S69" s="1">
        <v>57.4</v>
      </c>
      <c r="T69" s="1">
        <v>27.82</v>
      </c>
      <c r="U69" s="1">
        <v>0.83</v>
      </c>
      <c r="V69" s="1">
        <v>85</v>
      </c>
    </row>
    <row r="70" spans="1:22">
      <c r="B70" s="1">
        <v>90</v>
      </c>
      <c r="C70" s="1">
        <v>4.4423000000000004</v>
      </c>
      <c r="D70" s="108">
        <f t="shared" si="4"/>
        <v>644.30230740000013</v>
      </c>
      <c r="E70" s="1">
        <v>780.1</v>
      </c>
      <c r="F70" s="1">
        <f t="shared" si="5"/>
        <v>280.89887640449439</v>
      </c>
      <c r="G70" s="1">
        <v>3.5599999999999998E-3</v>
      </c>
      <c r="H70" s="1">
        <v>332.09</v>
      </c>
      <c r="I70" s="1">
        <v>401.87</v>
      </c>
      <c r="J70" s="1">
        <v>1.4000999999999999</v>
      </c>
      <c r="K70" s="1">
        <v>1.5922000000000001</v>
      </c>
      <c r="L70" s="1">
        <v>3.9809999999999999</v>
      </c>
      <c r="M70" s="1">
        <v>4.9749999999999996</v>
      </c>
      <c r="N70" s="1">
        <v>5.6260000000000003</v>
      </c>
      <c r="O70" s="1">
        <v>177</v>
      </c>
      <c r="P70" s="1">
        <v>124.6</v>
      </c>
      <c r="Q70" s="1">
        <v>58.3</v>
      </c>
      <c r="R70" s="1">
        <v>20.48</v>
      </c>
      <c r="S70" s="1">
        <v>59.3</v>
      </c>
      <c r="T70" s="1">
        <v>34.549999999999997</v>
      </c>
      <c r="U70" s="1">
        <v>0.4</v>
      </c>
      <c r="V70" s="1">
        <v>90</v>
      </c>
    </row>
    <row r="71" spans="1:22">
      <c r="B71" s="1">
        <v>95</v>
      </c>
      <c r="C71" s="1">
        <v>4.8823999999999996</v>
      </c>
      <c r="D71" s="108">
        <f t="shared" si="4"/>
        <v>708.13353119999999</v>
      </c>
      <c r="E71" s="1">
        <v>662.9</v>
      </c>
      <c r="F71" s="1">
        <f t="shared" si="5"/>
        <v>381.67938931297709</v>
      </c>
      <c r="G71" s="1">
        <v>2.6199999999999999E-3</v>
      </c>
      <c r="H71" s="1">
        <v>349.56</v>
      </c>
      <c r="I71" s="1">
        <v>387.28</v>
      </c>
      <c r="J71" s="1">
        <v>1.4461999999999999</v>
      </c>
      <c r="K71" s="1">
        <v>1.5486</v>
      </c>
      <c r="L71" s="1">
        <v>17.309999999999999</v>
      </c>
      <c r="M71" s="1">
        <v>25.29</v>
      </c>
      <c r="N71" s="1">
        <v>26.43</v>
      </c>
      <c r="O71" s="1">
        <v>128</v>
      </c>
      <c r="P71" s="1">
        <v>118</v>
      </c>
      <c r="Q71" s="1">
        <v>44.4</v>
      </c>
      <c r="R71" s="1">
        <v>24.76</v>
      </c>
      <c r="S71" s="1">
        <v>83.5</v>
      </c>
      <c r="T71" s="1">
        <v>59.15</v>
      </c>
      <c r="U71" s="1">
        <v>0.05</v>
      </c>
      <c r="V71" s="1">
        <v>95</v>
      </c>
    </row>
    <row r="72" spans="1:22">
      <c r="B72" s="1" t="s">
        <v>336</v>
      </c>
      <c r="C72" s="1">
        <v>4.99</v>
      </c>
      <c r="D72" s="108">
        <f t="shared" si="4"/>
        <v>723.73962000000006</v>
      </c>
      <c r="E72" s="1">
        <v>523.79999999999995</v>
      </c>
      <c r="F72" s="1">
        <f t="shared" si="5"/>
        <v>523.56020942408372</v>
      </c>
      <c r="G72" s="1">
        <v>1.91E-3</v>
      </c>
      <c r="H72" s="1">
        <v>366.9</v>
      </c>
      <c r="I72" s="1">
        <v>366.9</v>
      </c>
      <c r="J72" s="1">
        <v>1.4926999999999999</v>
      </c>
      <c r="K72" s="1">
        <v>1.4926999999999999</v>
      </c>
      <c r="L72" s="1" t="s">
        <v>310</v>
      </c>
      <c r="M72" s="1" t="s">
        <v>310</v>
      </c>
      <c r="N72" s="1" t="s">
        <v>310</v>
      </c>
      <c r="O72" s="1">
        <v>0</v>
      </c>
      <c r="P72" s="1">
        <v>0</v>
      </c>
      <c r="Q72" s="1" t="s">
        <v>311</v>
      </c>
      <c r="R72" s="1" t="s">
        <v>311</v>
      </c>
      <c r="S72" s="1" t="s">
        <v>310</v>
      </c>
      <c r="T72" s="1" t="s">
        <v>310</v>
      </c>
      <c r="U72" s="1">
        <v>0</v>
      </c>
      <c r="V72" s="1">
        <v>96.15</v>
      </c>
    </row>
    <row r="73" spans="1:22">
      <c r="D73" s="108"/>
    </row>
    <row r="74" spans="1:22">
      <c r="D74" s="108"/>
    </row>
    <row r="75" spans="1:22">
      <c r="D75" s="108"/>
    </row>
    <row r="76" spans="1:22">
      <c r="A76" t="s">
        <v>333</v>
      </c>
      <c r="D76" s="108"/>
    </row>
    <row r="77" spans="1:22">
      <c r="B77" s="1" t="s">
        <v>337</v>
      </c>
      <c r="C77" s="1">
        <v>3.8999999999999999E-4</v>
      </c>
      <c r="D77" s="108">
        <f t="shared" ref="D77:D136" si="6">C77*145.038</f>
        <v>5.6564820000000002E-2</v>
      </c>
      <c r="E77" s="1">
        <v>1591.1</v>
      </c>
      <c r="F77" s="1">
        <f t="shared" ref="F77:F136" si="7">1/G77</f>
        <v>2.8172188415596121E-2</v>
      </c>
      <c r="G77" s="1">
        <v>35.496000000000002</v>
      </c>
      <c r="H77" s="1">
        <v>71.459999999999994</v>
      </c>
      <c r="I77" s="1">
        <v>334.94</v>
      </c>
      <c r="J77" s="1">
        <v>0.41260000000000002</v>
      </c>
      <c r="K77" s="1">
        <v>1.9639</v>
      </c>
      <c r="L77" s="1">
        <v>1.1839999999999999</v>
      </c>
      <c r="M77" s="1">
        <v>0.58499999999999996</v>
      </c>
      <c r="N77" s="1">
        <v>1.1639999999999999</v>
      </c>
      <c r="O77" s="1">
        <v>1120</v>
      </c>
      <c r="P77" s="1">
        <v>126.8</v>
      </c>
      <c r="Q77" s="1">
        <v>2175</v>
      </c>
      <c r="R77" s="1">
        <v>6.46</v>
      </c>
      <c r="S77" s="1">
        <v>145.19999999999999</v>
      </c>
      <c r="T77" s="1">
        <v>3.08</v>
      </c>
      <c r="U77" s="1">
        <v>28.07</v>
      </c>
      <c r="V77" s="1" t="s">
        <v>338</v>
      </c>
    </row>
    <row r="78" spans="1:22">
      <c r="B78" s="1" t="s">
        <v>279</v>
      </c>
      <c r="C78" s="1">
        <v>5.5999999999999995E-4</v>
      </c>
      <c r="D78" s="108">
        <f t="shared" si="6"/>
        <v>8.1221279999999993E-2</v>
      </c>
      <c r="E78" s="1">
        <v>1582.4</v>
      </c>
      <c r="F78" s="1">
        <f t="shared" si="7"/>
        <v>3.9693565673004402E-2</v>
      </c>
      <c r="G78" s="1">
        <v>25.193000000000001</v>
      </c>
      <c r="H78" s="1">
        <v>75.36</v>
      </c>
      <c r="I78" s="1">
        <v>336.85</v>
      </c>
      <c r="J78" s="1">
        <v>0.43540000000000001</v>
      </c>
      <c r="K78" s="1">
        <v>1.9456</v>
      </c>
      <c r="L78" s="1">
        <v>1.1839999999999999</v>
      </c>
      <c r="M78" s="1">
        <v>0.59299999999999997</v>
      </c>
      <c r="N78" s="1">
        <v>1.1619999999999999</v>
      </c>
      <c r="O78" s="1">
        <v>1103</v>
      </c>
      <c r="P78" s="1">
        <v>127.9</v>
      </c>
      <c r="Q78" s="1">
        <v>1893</v>
      </c>
      <c r="R78" s="1">
        <v>6.6</v>
      </c>
      <c r="S78" s="1">
        <v>143.19999999999999</v>
      </c>
      <c r="T78" s="1">
        <v>3.34</v>
      </c>
      <c r="U78" s="1">
        <v>27.5</v>
      </c>
      <c r="V78" s="1" t="s">
        <v>279</v>
      </c>
    </row>
    <row r="79" spans="1:22">
      <c r="B79" s="1" t="s">
        <v>280</v>
      </c>
      <c r="C79" s="1">
        <v>1.5200000000000001E-3</v>
      </c>
      <c r="D79" s="108">
        <f t="shared" si="6"/>
        <v>0.22045776000000003</v>
      </c>
      <c r="E79" s="1">
        <v>1555.8</v>
      </c>
      <c r="F79" s="1">
        <f t="shared" si="7"/>
        <v>0.10235624065999303</v>
      </c>
      <c r="G79" s="1">
        <v>9.7698</v>
      </c>
      <c r="H79" s="1">
        <v>87.23</v>
      </c>
      <c r="I79" s="1">
        <v>342.76</v>
      </c>
      <c r="J79" s="1">
        <v>0.502</v>
      </c>
      <c r="K79" s="1">
        <v>1.8972</v>
      </c>
      <c r="L79" s="1">
        <v>1.1890000000000001</v>
      </c>
      <c r="M79" s="1">
        <v>0.61699999999999999</v>
      </c>
      <c r="N79" s="1">
        <v>1.1559999999999999</v>
      </c>
      <c r="O79" s="1">
        <v>1052</v>
      </c>
      <c r="P79" s="1">
        <v>131</v>
      </c>
      <c r="Q79" s="1">
        <v>1339</v>
      </c>
      <c r="R79" s="1">
        <v>7.03</v>
      </c>
      <c r="S79" s="1">
        <v>137.30000000000001</v>
      </c>
      <c r="T79" s="1">
        <v>4.1500000000000004</v>
      </c>
      <c r="U79" s="1">
        <v>25.79</v>
      </c>
      <c r="V79" s="1" t="s">
        <v>280</v>
      </c>
    </row>
    <row r="80" spans="1:22">
      <c r="B80" s="1" t="s">
        <v>281</v>
      </c>
      <c r="C80" s="1">
        <v>3.6700000000000001E-3</v>
      </c>
      <c r="D80" s="108">
        <f t="shared" si="6"/>
        <v>0.5322894600000001</v>
      </c>
      <c r="E80" s="1">
        <v>1529</v>
      </c>
      <c r="F80" s="1">
        <f t="shared" si="7"/>
        <v>0.23429080174312356</v>
      </c>
      <c r="G80" s="1">
        <v>4.2682000000000002</v>
      </c>
      <c r="H80" s="1">
        <v>99.16</v>
      </c>
      <c r="I80" s="1">
        <v>348.83</v>
      </c>
      <c r="J80" s="1">
        <v>0.56540000000000001</v>
      </c>
      <c r="K80" s="1">
        <v>1.8580000000000001</v>
      </c>
      <c r="L80" s="1">
        <v>1.198</v>
      </c>
      <c r="M80" s="1">
        <v>0.64200000000000002</v>
      </c>
      <c r="N80" s="1">
        <v>1.151</v>
      </c>
      <c r="O80" s="1">
        <v>1002</v>
      </c>
      <c r="P80" s="1">
        <v>134</v>
      </c>
      <c r="Q80" s="1">
        <v>1018</v>
      </c>
      <c r="R80" s="1">
        <v>7.46</v>
      </c>
      <c r="S80" s="1">
        <v>131.5</v>
      </c>
      <c r="T80" s="1">
        <v>4.95</v>
      </c>
      <c r="U80" s="1">
        <v>24.1</v>
      </c>
      <c r="V80" s="1" t="s">
        <v>281</v>
      </c>
    </row>
    <row r="81" spans="2:22">
      <c r="B81" s="1" t="s">
        <v>282</v>
      </c>
      <c r="C81" s="1">
        <v>7.9799999999999992E-3</v>
      </c>
      <c r="D81" s="108">
        <f t="shared" si="6"/>
        <v>1.1574032400000001</v>
      </c>
      <c r="E81" s="1">
        <v>1501.9</v>
      </c>
      <c r="F81" s="1">
        <f t="shared" si="7"/>
        <v>0.48567265662943171</v>
      </c>
      <c r="G81" s="1">
        <v>2.0590000000000002</v>
      </c>
      <c r="H81" s="1">
        <v>111.2</v>
      </c>
      <c r="I81" s="1">
        <v>355.02</v>
      </c>
      <c r="J81" s="1">
        <v>0.62619999999999998</v>
      </c>
      <c r="K81" s="1">
        <v>1.8264</v>
      </c>
      <c r="L81" s="1">
        <v>1.21</v>
      </c>
      <c r="M81" s="1">
        <v>0.66700000000000004</v>
      </c>
      <c r="N81" s="1">
        <v>1.1479999999999999</v>
      </c>
      <c r="O81" s="1">
        <v>952</v>
      </c>
      <c r="P81" s="1">
        <v>136.80000000000001</v>
      </c>
      <c r="Q81" s="1">
        <v>809.2</v>
      </c>
      <c r="R81" s="1">
        <v>7.89</v>
      </c>
      <c r="S81" s="1">
        <v>126</v>
      </c>
      <c r="T81" s="1">
        <v>5.75</v>
      </c>
      <c r="U81" s="1">
        <v>22.44</v>
      </c>
      <c r="V81" s="1" t="s">
        <v>282</v>
      </c>
    </row>
    <row r="82" spans="2:22">
      <c r="B82" s="1" t="s">
        <v>283</v>
      </c>
      <c r="C82" s="1">
        <v>1.5910000000000001E-2</v>
      </c>
      <c r="D82" s="108">
        <f t="shared" si="6"/>
        <v>2.3075545800000001</v>
      </c>
      <c r="E82" s="1">
        <v>1474.3</v>
      </c>
      <c r="F82" s="1">
        <f t="shared" si="7"/>
        <v>0.92678405931417984</v>
      </c>
      <c r="G82" s="1">
        <v>1.079</v>
      </c>
      <c r="H82" s="1">
        <v>123.36</v>
      </c>
      <c r="I82" s="1">
        <v>361.31</v>
      </c>
      <c r="J82" s="1">
        <v>0.68459999999999999</v>
      </c>
      <c r="K82" s="1">
        <v>1.8009999999999999</v>
      </c>
      <c r="L82" s="1">
        <v>1.2230000000000001</v>
      </c>
      <c r="M82" s="1">
        <v>0.69199999999999995</v>
      </c>
      <c r="N82" s="1">
        <v>1.1459999999999999</v>
      </c>
      <c r="O82" s="1">
        <v>903</v>
      </c>
      <c r="P82" s="1">
        <v>139.4</v>
      </c>
      <c r="Q82" s="1">
        <v>663.1</v>
      </c>
      <c r="R82" s="1">
        <v>8.3000000000000007</v>
      </c>
      <c r="S82" s="1">
        <v>120.7</v>
      </c>
      <c r="T82" s="1">
        <v>6.56</v>
      </c>
      <c r="U82" s="1">
        <v>20.8</v>
      </c>
      <c r="V82" s="1" t="s">
        <v>283</v>
      </c>
    </row>
    <row r="83" spans="2:22">
      <c r="B83" s="1" t="s">
        <v>284</v>
      </c>
      <c r="C83" s="1">
        <v>2.945E-2</v>
      </c>
      <c r="D83" s="108">
        <f t="shared" si="6"/>
        <v>4.2713691000000003</v>
      </c>
      <c r="E83" s="1">
        <v>1446.3</v>
      </c>
      <c r="F83" s="1">
        <f t="shared" si="7"/>
        <v>1.6496205872649292</v>
      </c>
      <c r="G83" s="1">
        <v>0.60619999999999996</v>
      </c>
      <c r="H83" s="1">
        <v>135.66999999999999</v>
      </c>
      <c r="I83" s="1">
        <v>367.65</v>
      </c>
      <c r="J83" s="1">
        <v>0.74099999999999999</v>
      </c>
      <c r="K83" s="1">
        <v>1.7806</v>
      </c>
      <c r="L83" s="1">
        <v>1.238</v>
      </c>
      <c r="M83" s="1">
        <v>0.72</v>
      </c>
      <c r="N83" s="1">
        <v>1.1459999999999999</v>
      </c>
      <c r="O83" s="1">
        <v>855</v>
      </c>
      <c r="P83" s="1">
        <v>141.69999999999999</v>
      </c>
      <c r="Q83" s="1">
        <v>555.1</v>
      </c>
      <c r="R83" s="1">
        <v>8.7200000000000006</v>
      </c>
      <c r="S83" s="1">
        <v>115.6</v>
      </c>
      <c r="T83" s="1">
        <v>7.36</v>
      </c>
      <c r="U83" s="1">
        <v>19.18</v>
      </c>
      <c r="V83" s="1" t="s">
        <v>284</v>
      </c>
    </row>
    <row r="84" spans="2:22">
      <c r="B84" s="1" t="s">
        <v>290</v>
      </c>
      <c r="C84" s="1">
        <v>5.1209999999999999E-2</v>
      </c>
      <c r="D84" s="108">
        <f t="shared" si="6"/>
        <v>7.42739598</v>
      </c>
      <c r="E84" s="1">
        <v>1417.7</v>
      </c>
      <c r="F84" s="1">
        <f t="shared" si="7"/>
        <v>2.7694693696687716</v>
      </c>
      <c r="G84" s="1">
        <v>0.36108000000000001</v>
      </c>
      <c r="H84" s="1">
        <v>148.13999999999999</v>
      </c>
      <c r="I84" s="1">
        <v>374</v>
      </c>
      <c r="J84" s="1">
        <v>0.79559999999999997</v>
      </c>
      <c r="K84" s="1">
        <v>1.7643</v>
      </c>
      <c r="L84" s="1">
        <v>1.2549999999999999</v>
      </c>
      <c r="M84" s="1">
        <v>0.749</v>
      </c>
      <c r="N84" s="1">
        <v>1.1479999999999999</v>
      </c>
      <c r="O84" s="1">
        <v>807</v>
      </c>
      <c r="P84" s="1">
        <v>143.6</v>
      </c>
      <c r="Q84" s="1">
        <v>472.2</v>
      </c>
      <c r="R84" s="1">
        <v>9.1199999999999992</v>
      </c>
      <c r="S84" s="1">
        <v>110.6</v>
      </c>
      <c r="T84" s="1">
        <v>8.17</v>
      </c>
      <c r="U84" s="1">
        <v>17.600000000000001</v>
      </c>
      <c r="V84" s="1" t="s">
        <v>290</v>
      </c>
    </row>
    <row r="85" spans="2:22">
      <c r="B85" s="1" t="s">
        <v>295</v>
      </c>
      <c r="C85" s="1">
        <v>8.4379999999999997E-2</v>
      </c>
      <c r="D85" s="108">
        <f t="shared" si="6"/>
        <v>12.238306440000001</v>
      </c>
      <c r="E85" s="1">
        <v>1388.4</v>
      </c>
      <c r="F85" s="1">
        <f t="shared" si="7"/>
        <v>4.4259537930424004</v>
      </c>
      <c r="G85" s="1">
        <v>0.22594</v>
      </c>
      <c r="H85" s="1">
        <v>160.79</v>
      </c>
      <c r="I85" s="1">
        <v>380.32</v>
      </c>
      <c r="J85" s="1">
        <v>0.84860000000000002</v>
      </c>
      <c r="K85" s="1">
        <v>1.7515000000000001</v>
      </c>
      <c r="L85" s="1">
        <v>1.2729999999999999</v>
      </c>
      <c r="M85" s="1">
        <v>0.78100000000000003</v>
      </c>
      <c r="N85" s="1">
        <v>1.1519999999999999</v>
      </c>
      <c r="O85" s="1">
        <v>760</v>
      </c>
      <c r="P85" s="1">
        <v>145.19999999999999</v>
      </c>
      <c r="Q85" s="1">
        <v>406.4</v>
      </c>
      <c r="R85" s="1">
        <v>9.52</v>
      </c>
      <c r="S85" s="1">
        <v>105.8</v>
      </c>
      <c r="T85" s="1">
        <v>8.99</v>
      </c>
      <c r="U85" s="1">
        <v>16.04</v>
      </c>
      <c r="V85" s="1" t="s">
        <v>295</v>
      </c>
    </row>
    <row r="86" spans="2:22">
      <c r="B86" s="1" t="s">
        <v>296</v>
      </c>
      <c r="C86" s="1">
        <v>9.2700000000000005E-2</v>
      </c>
      <c r="D86" s="108">
        <f t="shared" si="6"/>
        <v>13.445022600000001</v>
      </c>
      <c r="E86" s="1">
        <v>1382.4</v>
      </c>
      <c r="F86" s="1">
        <f t="shared" si="7"/>
        <v>4.8355899419729207</v>
      </c>
      <c r="G86" s="1">
        <v>0.20680000000000001</v>
      </c>
      <c r="H86" s="1">
        <v>163.34</v>
      </c>
      <c r="I86" s="1">
        <v>381.57</v>
      </c>
      <c r="J86" s="1">
        <v>0.85909999999999997</v>
      </c>
      <c r="K86" s="1">
        <v>1.7492000000000001</v>
      </c>
      <c r="L86" s="1">
        <v>1.2769999999999999</v>
      </c>
      <c r="M86" s="1">
        <v>0.78800000000000003</v>
      </c>
      <c r="N86" s="1">
        <v>1.153</v>
      </c>
      <c r="O86" s="1">
        <v>751</v>
      </c>
      <c r="P86" s="1">
        <v>145.4</v>
      </c>
      <c r="Q86" s="1">
        <v>394.9</v>
      </c>
      <c r="R86" s="1">
        <v>9.6</v>
      </c>
      <c r="S86" s="1">
        <v>104.8</v>
      </c>
      <c r="T86" s="1">
        <v>9.15</v>
      </c>
      <c r="U86" s="1">
        <v>15.73</v>
      </c>
      <c r="V86" s="1" t="s">
        <v>296</v>
      </c>
    </row>
    <row r="87" spans="2:22">
      <c r="B87" s="1" t="s">
        <v>339</v>
      </c>
      <c r="C87" s="1">
        <v>0.10133</v>
      </c>
      <c r="D87" s="108">
        <f t="shared" si="6"/>
        <v>14.696700540000002</v>
      </c>
      <c r="E87" s="1">
        <v>1376.7</v>
      </c>
      <c r="F87" s="1">
        <f t="shared" si="7"/>
        <v>5.2581764644021458</v>
      </c>
      <c r="G87" s="1">
        <v>0.19017999999999999</v>
      </c>
      <c r="H87" s="1">
        <v>165.81</v>
      </c>
      <c r="I87" s="1">
        <v>382.78</v>
      </c>
      <c r="J87" s="1">
        <v>0.86899999999999999</v>
      </c>
      <c r="K87" s="1">
        <v>1.7472000000000001</v>
      </c>
      <c r="L87" s="1">
        <v>1.2809999999999999</v>
      </c>
      <c r="M87" s="1">
        <v>0.79400000000000004</v>
      </c>
      <c r="N87" s="1">
        <v>1.1539999999999999</v>
      </c>
      <c r="O87" s="1">
        <v>742</v>
      </c>
      <c r="P87" s="1">
        <v>145.69999999999999</v>
      </c>
      <c r="Q87" s="1">
        <v>384.2</v>
      </c>
      <c r="R87" s="1">
        <v>9.68</v>
      </c>
      <c r="S87" s="1">
        <v>103.9</v>
      </c>
      <c r="T87" s="1">
        <v>9.31</v>
      </c>
      <c r="U87" s="1">
        <v>15.44</v>
      </c>
      <c r="V87" s="1" t="s">
        <v>340</v>
      </c>
    </row>
    <row r="88" spans="2:22">
      <c r="B88" s="1" t="s">
        <v>297</v>
      </c>
      <c r="C88" s="1">
        <v>0.10167</v>
      </c>
      <c r="D88" s="108">
        <f t="shared" si="6"/>
        <v>14.74601346</v>
      </c>
      <c r="E88" s="1">
        <v>1376.5</v>
      </c>
      <c r="F88" s="1">
        <f t="shared" si="7"/>
        <v>5.274818018778352</v>
      </c>
      <c r="G88" s="1">
        <v>0.18958</v>
      </c>
      <c r="H88" s="1">
        <v>165.9</v>
      </c>
      <c r="I88" s="1">
        <v>382.82</v>
      </c>
      <c r="J88" s="1">
        <v>0.86939999999999995</v>
      </c>
      <c r="K88" s="1">
        <v>1.7471000000000001</v>
      </c>
      <c r="L88" s="1">
        <v>1.2809999999999999</v>
      </c>
      <c r="M88" s="1">
        <v>0.79400000000000004</v>
      </c>
      <c r="N88" s="1">
        <v>1.1539999999999999</v>
      </c>
      <c r="O88" s="1">
        <v>742</v>
      </c>
      <c r="P88" s="1">
        <v>145.69999999999999</v>
      </c>
      <c r="Q88" s="1">
        <v>383.8</v>
      </c>
      <c r="R88" s="1">
        <v>9.68</v>
      </c>
      <c r="S88" s="1">
        <v>103.9</v>
      </c>
      <c r="T88" s="1">
        <v>9.32</v>
      </c>
      <c r="U88" s="1">
        <v>15.43</v>
      </c>
      <c r="V88" s="1" t="s">
        <v>297</v>
      </c>
    </row>
    <row r="89" spans="2:22">
      <c r="B89" s="1" t="s">
        <v>298</v>
      </c>
      <c r="C89" s="1">
        <v>0.1113</v>
      </c>
      <c r="D89" s="108">
        <f t="shared" si="6"/>
        <v>16.1427294</v>
      </c>
      <c r="E89" s="1">
        <v>1370.4</v>
      </c>
      <c r="F89" s="1">
        <f t="shared" si="7"/>
        <v>5.7448153041879699</v>
      </c>
      <c r="G89" s="1">
        <v>0.17407</v>
      </c>
      <c r="H89" s="1">
        <v>168.47</v>
      </c>
      <c r="I89" s="1">
        <v>384.07</v>
      </c>
      <c r="J89" s="1">
        <v>0.87980000000000003</v>
      </c>
      <c r="K89" s="1">
        <v>1.7451000000000001</v>
      </c>
      <c r="L89" s="1">
        <v>1.2849999999999999</v>
      </c>
      <c r="M89" s="1">
        <v>0.80100000000000005</v>
      </c>
      <c r="N89" s="1">
        <v>1.155</v>
      </c>
      <c r="O89" s="1">
        <v>732</v>
      </c>
      <c r="P89" s="1">
        <v>145.9</v>
      </c>
      <c r="Q89" s="1">
        <v>373.1</v>
      </c>
      <c r="R89" s="1">
        <v>9.77</v>
      </c>
      <c r="S89" s="1">
        <v>102.9</v>
      </c>
      <c r="T89" s="1">
        <v>9.48</v>
      </c>
      <c r="U89" s="1">
        <v>15.12</v>
      </c>
      <c r="V89" s="1" t="s">
        <v>298</v>
      </c>
    </row>
    <row r="90" spans="2:22">
      <c r="B90" s="1" t="s">
        <v>299</v>
      </c>
      <c r="C90" s="1">
        <v>0.12164999999999999</v>
      </c>
      <c r="D90" s="108">
        <f t="shared" si="6"/>
        <v>17.643872699999999</v>
      </c>
      <c r="E90" s="1">
        <v>1364.4</v>
      </c>
      <c r="F90" s="1">
        <f t="shared" si="7"/>
        <v>6.2476571285767832</v>
      </c>
      <c r="G90" s="1">
        <v>0.16006000000000001</v>
      </c>
      <c r="H90" s="1">
        <v>171.05</v>
      </c>
      <c r="I90" s="1">
        <v>385.32</v>
      </c>
      <c r="J90" s="1">
        <v>0.89</v>
      </c>
      <c r="K90" s="1">
        <v>1.7432000000000001</v>
      </c>
      <c r="L90" s="1">
        <v>1.2889999999999999</v>
      </c>
      <c r="M90" s="1">
        <v>0.80900000000000005</v>
      </c>
      <c r="N90" s="1">
        <v>1.1559999999999999</v>
      </c>
      <c r="O90" s="1">
        <v>723</v>
      </c>
      <c r="P90" s="1">
        <v>146.1</v>
      </c>
      <c r="Q90" s="1">
        <v>362.9</v>
      </c>
      <c r="R90" s="1">
        <v>9.85</v>
      </c>
      <c r="S90" s="1">
        <v>102</v>
      </c>
      <c r="T90" s="1">
        <v>9.65</v>
      </c>
      <c r="U90" s="1">
        <v>14.82</v>
      </c>
      <c r="V90" s="1" t="s">
        <v>299</v>
      </c>
    </row>
    <row r="91" spans="2:22">
      <c r="B91" s="1" t="s">
        <v>300</v>
      </c>
      <c r="C91" s="1">
        <v>0.13272999999999999</v>
      </c>
      <c r="D91" s="108">
        <f t="shared" si="6"/>
        <v>19.250893739999999</v>
      </c>
      <c r="E91" s="1">
        <v>1358.3</v>
      </c>
      <c r="F91" s="1">
        <f t="shared" si="7"/>
        <v>6.7847208087387205</v>
      </c>
      <c r="G91" s="1">
        <v>0.14738999999999999</v>
      </c>
      <c r="H91" s="1">
        <v>173.64</v>
      </c>
      <c r="I91" s="1">
        <v>386.55</v>
      </c>
      <c r="J91" s="1">
        <v>0.9002</v>
      </c>
      <c r="K91" s="1">
        <v>1.7413000000000001</v>
      </c>
      <c r="L91" s="1">
        <v>1.2929999999999999</v>
      </c>
      <c r="M91" s="1">
        <v>0.81599999999999995</v>
      </c>
      <c r="N91" s="1">
        <v>1.1579999999999999</v>
      </c>
      <c r="O91" s="1">
        <v>714</v>
      </c>
      <c r="P91" s="1">
        <v>146.30000000000001</v>
      </c>
      <c r="Q91" s="1">
        <v>353</v>
      </c>
      <c r="R91" s="1">
        <v>9.92</v>
      </c>
      <c r="S91" s="1">
        <v>101.1</v>
      </c>
      <c r="T91" s="1">
        <v>9.82</v>
      </c>
      <c r="U91" s="1">
        <v>14.51</v>
      </c>
      <c r="V91" s="1" t="s">
        <v>300</v>
      </c>
    </row>
    <row r="92" spans="2:22">
      <c r="B92" s="1" t="s">
        <v>301</v>
      </c>
      <c r="C92" s="1">
        <v>0.14460000000000001</v>
      </c>
      <c r="D92" s="108">
        <f t="shared" si="6"/>
        <v>20.972494800000003</v>
      </c>
      <c r="E92" s="1">
        <v>1352.1</v>
      </c>
      <c r="F92" s="1">
        <f t="shared" si="7"/>
        <v>7.3572689817539718</v>
      </c>
      <c r="G92" s="1">
        <v>0.13592000000000001</v>
      </c>
      <c r="H92" s="1">
        <v>176.23</v>
      </c>
      <c r="I92" s="1">
        <v>387.79</v>
      </c>
      <c r="J92" s="1">
        <v>0.91039999999999999</v>
      </c>
      <c r="K92" s="1">
        <v>1.7396</v>
      </c>
      <c r="L92" s="1">
        <v>1.2969999999999999</v>
      </c>
      <c r="M92" s="1">
        <v>0.82299999999999995</v>
      </c>
      <c r="N92" s="1">
        <v>1.159</v>
      </c>
      <c r="O92" s="1">
        <v>705</v>
      </c>
      <c r="P92" s="1">
        <v>146.4</v>
      </c>
      <c r="Q92" s="1">
        <v>343.5</v>
      </c>
      <c r="R92" s="1">
        <v>10.01</v>
      </c>
      <c r="S92" s="1">
        <v>100.1</v>
      </c>
      <c r="T92" s="1">
        <v>9.98</v>
      </c>
      <c r="U92" s="1">
        <v>14.21</v>
      </c>
      <c r="V92" s="1" t="s">
        <v>301</v>
      </c>
    </row>
    <row r="93" spans="2:22">
      <c r="B93" s="1" t="s">
        <v>302</v>
      </c>
      <c r="C93" s="1">
        <v>0.15728</v>
      </c>
      <c r="D93" s="108">
        <f t="shared" si="6"/>
        <v>22.811576640000002</v>
      </c>
      <c r="E93" s="1">
        <v>1345.9</v>
      </c>
      <c r="F93" s="1">
        <f t="shared" si="7"/>
        <v>7.9674926300693167</v>
      </c>
      <c r="G93" s="1">
        <v>0.12551000000000001</v>
      </c>
      <c r="H93" s="1">
        <v>178.83</v>
      </c>
      <c r="I93" s="1">
        <v>389.02</v>
      </c>
      <c r="J93" s="1">
        <v>0.92049999999999998</v>
      </c>
      <c r="K93" s="1">
        <v>1.7379</v>
      </c>
      <c r="L93" s="1">
        <v>1.302</v>
      </c>
      <c r="M93" s="1">
        <v>0.83099999999999996</v>
      </c>
      <c r="N93" s="1">
        <v>1.161</v>
      </c>
      <c r="O93" s="1">
        <v>695</v>
      </c>
      <c r="P93" s="1">
        <v>146.6</v>
      </c>
      <c r="Q93" s="1">
        <v>334.3</v>
      </c>
      <c r="R93" s="1">
        <v>10.09</v>
      </c>
      <c r="S93" s="1">
        <v>99.2</v>
      </c>
      <c r="T93" s="1">
        <v>10.15</v>
      </c>
      <c r="U93" s="1">
        <v>13.91</v>
      </c>
      <c r="V93" s="1" t="s">
        <v>302</v>
      </c>
    </row>
    <row r="94" spans="2:22">
      <c r="B94" s="1" t="s">
        <v>303</v>
      </c>
      <c r="C94" s="1">
        <v>0.17082</v>
      </c>
      <c r="D94" s="108">
        <f t="shared" si="6"/>
        <v>24.775391160000002</v>
      </c>
      <c r="E94" s="1">
        <v>1339.7</v>
      </c>
      <c r="F94" s="1">
        <f t="shared" si="7"/>
        <v>8.6169754416199922</v>
      </c>
      <c r="G94" s="1">
        <v>0.11605</v>
      </c>
      <c r="H94" s="1">
        <v>181.44</v>
      </c>
      <c r="I94" s="1">
        <v>390.24</v>
      </c>
      <c r="J94" s="1">
        <v>0.93059999999999998</v>
      </c>
      <c r="K94" s="1">
        <v>1.7363</v>
      </c>
      <c r="L94" s="1">
        <v>1.306</v>
      </c>
      <c r="M94" s="1">
        <v>0.83799999999999997</v>
      </c>
      <c r="N94" s="1">
        <v>1.163</v>
      </c>
      <c r="O94" s="1">
        <v>686</v>
      </c>
      <c r="P94" s="1">
        <v>146.69999999999999</v>
      </c>
      <c r="Q94" s="1">
        <v>325.39999999999998</v>
      </c>
      <c r="R94" s="1">
        <v>10.17</v>
      </c>
      <c r="S94" s="1">
        <v>98.3</v>
      </c>
      <c r="T94" s="1">
        <v>10.32</v>
      </c>
      <c r="U94" s="1">
        <v>13.61</v>
      </c>
      <c r="V94" s="1" t="s">
        <v>303</v>
      </c>
    </row>
    <row r="95" spans="2:22">
      <c r="B95" s="1" t="s">
        <v>304</v>
      </c>
      <c r="C95" s="1">
        <v>0.18523999999999999</v>
      </c>
      <c r="D95" s="108">
        <f t="shared" si="6"/>
        <v>26.866839120000002</v>
      </c>
      <c r="E95" s="1">
        <v>1333.4</v>
      </c>
      <c r="F95" s="1">
        <f t="shared" si="7"/>
        <v>9.307520476545049</v>
      </c>
      <c r="G95" s="1">
        <v>0.10743999999999999</v>
      </c>
      <c r="H95" s="1">
        <v>184.07</v>
      </c>
      <c r="I95" s="1">
        <v>391.46</v>
      </c>
      <c r="J95" s="1">
        <v>0.94069999999999998</v>
      </c>
      <c r="K95" s="1">
        <v>1.7347999999999999</v>
      </c>
      <c r="L95" s="1">
        <v>1.3109999999999999</v>
      </c>
      <c r="M95" s="1">
        <v>0.84599999999999997</v>
      </c>
      <c r="N95" s="1">
        <v>1.165</v>
      </c>
      <c r="O95" s="1">
        <v>677</v>
      </c>
      <c r="P95" s="1">
        <v>146.80000000000001</v>
      </c>
      <c r="Q95" s="1">
        <v>316.89999999999998</v>
      </c>
      <c r="R95" s="1">
        <v>10.25</v>
      </c>
      <c r="S95" s="1">
        <v>97.4</v>
      </c>
      <c r="T95" s="1">
        <v>10.49</v>
      </c>
      <c r="U95" s="1">
        <v>13.32</v>
      </c>
      <c r="V95" s="1" t="s">
        <v>304</v>
      </c>
    </row>
    <row r="96" spans="2:22">
      <c r="B96" s="1" t="s">
        <v>305</v>
      </c>
      <c r="C96" s="1">
        <v>0.2006</v>
      </c>
      <c r="D96" s="108">
        <f t="shared" si="6"/>
        <v>29.094622800000003</v>
      </c>
      <c r="E96" s="1">
        <v>1327.1</v>
      </c>
      <c r="F96" s="1">
        <f t="shared" si="7"/>
        <v>10.041168792047394</v>
      </c>
      <c r="G96" s="1">
        <v>9.9589999999999998E-2</v>
      </c>
      <c r="H96" s="1">
        <v>186.7</v>
      </c>
      <c r="I96" s="1">
        <v>392.66</v>
      </c>
      <c r="J96" s="1">
        <v>0.9506</v>
      </c>
      <c r="K96" s="1">
        <v>1.7334000000000001</v>
      </c>
      <c r="L96" s="1">
        <v>1.3160000000000001</v>
      </c>
      <c r="M96" s="1">
        <v>0.85399999999999998</v>
      </c>
      <c r="N96" s="1">
        <v>1.167</v>
      </c>
      <c r="O96" s="1">
        <v>668</v>
      </c>
      <c r="P96" s="1">
        <v>146.9</v>
      </c>
      <c r="Q96" s="1">
        <v>308.60000000000002</v>
      </c>
      <c r="R96" s="1">
        <v>10.33</v>
      </c>
      <c r="S96" s="1">
        <v>96.5</v>
      </c>
      <c r="T96" s="1">
        <v>10.66</v>
      </c>
      <c r="U96" s="1">
        <v>13.02</v>
      </c>
      <c r="V96" s="1" t="s">
        <v>305</v>
      </c>
    </row>
    <row r="97" spans="2:22">
      <c r="B97" s="1" t="s">
        <v>306</v>
      </c>
      <c r="C97" s="1">
        <v>0.21693000000000001</v>
      </c>
      <c r="D97" s="108">
        <f t="shared" si="6"/>
        <v>31.463093340000004</v>
      </c>
      <c r="E97" s="1">
        <v>1320.8</v>
      </c>
      <c r="F97" s="1">
        <f t="shared" si="7"/>
        <v>10.820168794633195</v>
      </c>
      <c r="G97" s="1">
        <v>9.2420000000000002E-2</v>
      </c>
      <c r="H97" s="1">
        <v>189.34</v>
      </c>
      <c r="I97" s="1">
        <v>393.87</v>
      </c>
      <c r="J97" s="1">
        <v>0.96060000000000001</v>
      </c>
      <c r="K97" s="1">
        <v>1.732</v>
      </c>
      <c r="L97" s="1">
        <v>1.32</v>
      </c>
      <c r="M97" s="1">
        <v>0.86299999999999999</v>
      </c>
      <c r="N97" s="1">
        <v>1.169</v>
      </c>
      <c r="O97" s="1">
        <v>658</v>
      </c>
      <c r="P97" s="1">
        <v>146.9</v>
      </c>
      <c r="Q97" s="1">
        <v>300.60000000000002</v>
      </c>
      <c r="R97" s="1">
        <v>10.41</v>
      </c>
      <c r="S97" s="1">
        <v>95.6</v>
      </c>
      <c r="T97" s="1">
        <v>10.83</v>
      </c>
      <c r="U97" s="1">
        <v>12.72</v>
      </c>
      <c r="V97" s="1" t="s">
        <v>306</v>
      </c>
    </row>
    <row r="98" spans="2:22">
      <c r="B98" s="1" t="s">
        <v>307</v>
      </c>
      <c r="C98" s="1">
        <v>0.23427999999999999</v>
      </c>
      <c r="D98" s="108">
        <f t="shared" si="6"/>
        <v>33.97950264</v>
      </c>
      <c r="E98" s="1">
        <v>1314.3</v>
      </c>
      <c r="F98" s="1">
        <f t="shared" si="7"/>
        <v>11.64551065564225</v>
      </c>
      <c r="G98" s="1">
        <v>8.5870000000000002E-2</v>
      </c>
      <c r="H98" s="1">
        <v>191.99</v>
      </c>
      <c r="I98" s="1">
        <v>395.06</v>
      </c>
      <c r="J98" s="1">
        <v>0.97050000000000003</v>
      </c>
      <c r="K98" s="1">
        <v>1.7306999999999999</v>
      </c>
      <c r="L98" s="1">
        <v>1.325</v>
      </c>
      <c r="M98" s="1">
        <v>0.871</v>
      </c>
      <c r="N98" s="1">
        <v>1.171</v>
      </c>
      <c r="O98" s="1">
        <v>649</v>
      </c>
      <c r="P98" s="1">
        <v>147</v>
      </c>
      <c r="Q98" s="1">
        <v>292.89999999999998</v>
      </c>
      <c r="R98" s="1">
        <v>10.49</v>
      </c>
      <c r="S98" s="1">
        <v>94.7</v>
      </c>
      <c r="T98" s="1">
        <v>11</v>
      </c>
      <c r="U98" s="1">
        <v>12.43</v>
      </c>
      <c r="V98" s="1" t="s">
        <v>307</v>
      </c>
    </row>
    <row r="99" spans="2:22">
      <c r="B99" s="1" t="s">
        <v>308</v>
      </c>
      <c r="C99" s="1">
        <v>0.25268000000000002</v>
      </c>
      <c r="D99" s="108">
        <f t="shared" si="6"/>
        <v>36.648201840000006</v>
      </c>
      <c r="E99" s="1">
        <v>1307.9000000000001</v>
      </c>
      <c r="F99" s="1">
        <f t="shared" si="7"/>
        <v>12.520345561537498</v>
      </c>
      <c r="G99" s="1">
        <v>7.9869999999999997E-2</v>
      </c>
      <c r="H99" s="1">
        <v>194.65</v>
      </c>
      <c r="I99" s="1">
        <v>396.25</v>
      </c>
      <c r="J99" s="1">
        <v>0.98040000000000005</v>
      </c>
      <c r="K99" s="1">
        <v>1.7294</v>
      </c>
      <c r="L99" s="1">
        <v>1.33</v>
      </c>
      <c r="M99" s="1">
        <v>0.88</v>
      </c>
      <c r="N99" s="1">
        <v>1.1739999999999999</v>
      </c>
      <c r="O99" s="1">
        <v>640</v>
      </c>
      <c r="P99" s="1">
        <v>147</v>
      </c>
      <c r="Q99" s="1">
        <v>285.39999999999998</v>
      </c>
      <c r="R99" s="1">
        <v>10.57</v>
      </c>
      <c r="S99" s="1">
        <v>93.8</v>
      </c>
      <c r="T99" s="1">
        <v>11.17</v>
      </c>
      <c r="U99" s="1">
        <v>12.14</v>
      </c>
      <c r="V99" s="1" t="s">
        <v>308</v>
      </c>
    </row>
    <row r="100" spans="2:22">
      <c r="B100" s="1" t="s">
        <v>309</v>
      </c>
      <c r="C100" s="1">
        <v>0.27217000000000002</v>
      </c>
      <c r="D100" s="108">
        <f t="shared" si="6"/>
        <v>39.474992460000003</v>
      </c>
      <c r="E100" s="1">
        <v>1301.4000000000001</v>
      </c>
      <c r="F100" s="1">
        <f t="shared" si="7"/>
        <v>13.448090371167295</v>
      </c>
      <c r="G100" s="1">
        <v>7.4359999999999996E-2</v>
      </c>
      <c r="H100" s="1">
        <v>197.32</v>
      </c>
      <c r="I100" s="1">
        <v>397.43</v>
      </c>
      <c r="J100" s="1">
        <v>0.99019999999999997</v>
      </c>
      <c r="K100" s="1">
        <v>1.7282</v>
      </c>
      <c r="L100" s="1">
        <v>1.3360000000000001</v>
      </c>
      <c r="M100" s="1">
        <v>0.88800000000000001</v>
      </c>
      <c r="N100" s="1">
        <v>1.1759999999999999</v>
      </c>
      <c r="O100" s="1">
        <v>631</v>
      </c>
      <c r="P100" s="1">
        <v>147</v>
      </c>
      <c r="Q100" s="1">
        <v>278.10000000000002</v>
      </c>
      <c r="R100" s="1">
        <v>10.65</v>
      </c>
      <c r="S100" s="1">
        <v>92.9</v>
      </c>
      <c r="T100" s="1">
        <v>11.34</v>
      </c>
      <c r="U100" s="1">
        <v>11.85</v>
      </c>
      <c r="V100" s="1" t="s">
        <v>309</v>
      </c>
    </row>
    <row r="101" spans="2:22">
      <c r="B101" s="1">
        <v>0</v>
      </c>
      <c r="C101" s="1">
        <v>0.2928</v>
      </c>
      <c r="D101" s="108">
        <f t="shared" si="6"/>
        <v>42.467126400000005</v>
      </c>
      <c r="E101" s="1">
        <v>1294.8</v>
      </c>
      <c r="F101" s="1">
        <f t="shared" si="7"/>
        <v>14.427932477276007</v>
      </c>
      <c r="G101" s="1">
        <v>6.9309999999999997E-2</v>
      </c>
      <c r="H101" s="1">
        <v>200</v>
      </c>
      <c r="I101" s="1">
        <v>398.6</v>
      </c>
      <c r="J101" s="1">
        <v>1</v>
      </c>
      <c r="K101" s="1">
        <v>1.7271000000000001</v>
      </c>
      <c r="L101" s="1">
        <v>1.341</v>
      </c>
      <c r="M101" s="1">
        <v>0.89700000000000002</v>
      </c>
      <c r="N101" s="1">
        <v>1.179</v>
      </c>
      <c r="O101" s="1">
        <v>622</v>
      </c>
      <c r="P101" s="1">
        <v>146.9</v>
      </c>
      <c r="Q101" s="1">
        <v>271.10000000000002</v>
      </c>
      <c r="R101" s="1">
        <v>10.73</v>
      </c>
      <c r="S101" s="1">
        <v>92</v>
      </c>
      <c r="T101" s="1">
        <v>11.51</v>
      </c>
      <c r="U101" s="1">
        <v>11.56</v>
      </c>
      <c r="V101" s="1">
        <v>0</v>
      </c>
    </row>
    <row r="102" spans="2:22">
      <c r="B102" s="1">
        <v>2</v>
      </c>
      <c r="C102" s="1">
        <v>0.31462000000000001</v>
      </c>
      <c r="D102" s="108">
        <f t="shared" si="6"/>
        <v>45.631855560000005</v>
      </c>
      <c r="E102" s="1">
        <v>1288.0999999999999</v>
      </c>
      <c r="F102" s="1">
        <f t="shared" si="7"/>
        <v>15.465511908444171</v>
      </c>
      <c r="G102" s="1">
        <v>6.4659999999999995E-2</v>
      </c>
      <c r="H102" s="1">
        <v>202.69</v>
      </c>
      <c r="I102" s="1">
        <v>399.77</v>
      </c>
      <c r="J102" s="1">
        <v>1.0098</v>
      </c>
      <c r="K102" s="1">
        <v>1.726</v>
      </c>
      <c r="L102" s="1">
        <v>1.347</v>
      </c>
      <c r="M102" s="1">
        <v>0.90600000000000003</v>
      </c>
      <c r="N102" s="1">
        <v>1.1819999999999999</v>
      </c>
      <c r="O102" s="1">
        <v>612</v>
      </c>
      <c r="P102" s="1">
        <v>146.9</v>
      </c>
      <c r="Q102" s="1">
        <v>264.3</v>
      </c>
      <c r="R102" s="1">
        <v>10.81</v>
      </c>
      <c r="S102" s="1">
        <v>91.1</v>
      </c>
      <c r="T102" s="1">
        <v>11.69</v>
      </c>
      <c r="U102" s="1">
        <v>11.27</v>
      </c>
      <c r="V102" s="1">
        <v>2</v>
      </c>
    </row>
    <row r="103" spans="2:22">
      <c r="B103" s="1">
        <v>4</v>
      </c>
      <c r="C103" s="1">
        <v>0.33766000000000002</v>
      </c>
      <c r="D103" s="108">
        <f t="shared" si="6"/>
        <v>48.973531080000008</v>
      </c>
      <c r="E103" s="1">
        <v>1281.4000000000001</v>
      </c>
      <c r="F103" s="1">
        <f t="shared" si="7"/>
        <v>16.559032952475576</v>
      </c>
      <c r="G103" s="1">
        <v>6.0389999999999999E-2</v>
      </c>
      <c r="H103" s="1">
        <v>205.4</v>
      </c>
      <c r="I103" s="1">
        <v>400.92</v>
      </c>
      <c r="J103" s="1">
        <v>1.0195000000000001</v>
      </c>
      <c r="K103" s="1">
        <v>1.7250000000000001</v>
      </c>
      <c r="L103" s="1">
        <v>1.3520000000000001</v>
      </c>
      <c r="M103" s="1">
        <v>0.91600000000000004</v>
      </c>
      <c r="N103" s="1">
        <v>1.1850000000000001</v>
      </c>
      <c r="O103" s="1">
        <v>603</v>
      </c>
      <c r="P103" s="1">
        <v>146.80000000000001</v>
      </c>
      <c r="Q103" s="1">
        <v>257.60000000000002</v>
      </c>
      <c r="R103" s="1">
        <v>10.9</v>
      </c>
      <c r="S103" s="1">
        <v>90.2</v>
      </c>
      <c r="T103" s="1">
        <v>11.86</v>
      </c>
      <c r="U103" s="1">
        <v>10.99</v>
      </c>
      <c r="V103" s="1">
        <v>4</v>
      </c>
    </row>
    <row r="104" spans="2:22">
      <c r="B104" s="1">
        <v>6</v>
      </c>
      <c r="C104" s="1">
        <v>0.36198000000000002</v>
      </c>
      <c r="D104" s="108">
        <f t="shared" si="6"/>
        <v>52.500855240000007</v>
      </c>
      <c r="E104" s="1">
        <v>1274.7</v>
      </c>
      <c r="F104" s="1">
        <f t="shared" si="7"/>
        <v>17.71793054571226</v>
      </c>
      <c r="G104" s="1">
        <v>5.6439999999999997E-2</v>
      </c>
      <c r="H104" s="1">
        <v>208.11</v>
      </c>
      <c r="I104" s="1">
        <v>402.06</v>
      </c>
      <c r="J104" s="1">
        <v>1.0291999999999999</v>
      </c>
      <c r="K104" s="1">
        <v>1.724</v>
      </c>
      <c r="L104" s="1">
        <v>1.3580000000000001</v>
      </c>
      <c r="M104" s="1">
        <v>0.92500000000000004</v>
      </c>
      <c r="N104" s="1">
        <v>1.1890000000000001</v>
      </c>
      <c r="O104" s="1">
        <v>594</v>
      </c>
      <c r="P104" s="1">
        <v>146.69999999999999</v>
      </c>
      <c r="Q104" s="1">
        <v>251.2</v>
      </c>
      <c r="R104" s="1">
        <v>10.98</v>
      </c>
      <c r="S104" s="1">
        <v>89.4</v>
      </c>
      <c r="T104" s="1">
        <v>12.04</v>
      </c>
      <c r="U104" s="1">
        <v>10.7</v>
      </c>
      <c r="V104" s="1">
        <v>6</v>
      </c>
    </row>
    <row r="105" spans="2:22">
      <c r="B105" s="1">
        <v>8</v>
      </c>
      <c r="C105" s="1">
        <v>0.38761000000000001</v>
      </c>
      <c r="D105" s="108">
        <f t="shared" si="6"/>
        <v>56.218179180000007</v>
      </c>
      <c r="E105" s="1">
        <v>1267.9000000000001</v>
      </c>
      <c r="F105" s="1">
        <f t="shared" si="7"/>
        <v>18.939393939393941</v>
      </c>
      <c r="G105" s="1">
        <v>5.28E-2</v>
      </c>
      <c r="H105" s="1">
        <v>210.84</v>
      </c>
      <c r="I105" s="1">
        <v>403.2</v>
      </c>
      <c r="J105" s="1">
        <v>1.0387999999999999</v>
      </c>
      <c r="K105" s="1">
        <v>1.7230000000000001</v>
      </c>
      <c r="L105" s="1">
        <v>1.3640000000000001</v>
      </c>
      <c r="M105" s="1">
        <v>0.93500000000000005</v>
      </c>
      <c r="N105" s="1">
        <v>1.1919999999999999</v>
      </c>
      <c r="O105" s="1">
        <v>585</v>
      </c>
      <c r="P105" s="1">
        <v>146.5</v>
      </c>
      <c r="Q105" s="1">
        <v>244.9</v>
      </c>
      <c r="R105" s="1">
        <v>11.06</v>
      </c>
      <c r="S105" s="1">
        <v>88.5</v>
      </c>
      <c r="T105" s="1">
        <v>12.22</v>
      </c>
      <c r="U105" s="1">
        <v>10.42</v>
      </c>
      <c r="V105" s="1">
        <v>8</v>
      </c>
    </row>
    <row r="106" spans="2:22">
      <c r="B106" s="1">
        <v>10</v>
      </c>
      <c r="C106" s="1">
        <v>0.41460999999999998</v>
      </c>
      <c r="D106" s="108">
        <f t="shared" si="6"/>
        <v>60.134205180000002</v>
      </c>
      <c r="E106" s="1">
        <v>1261</v>
      </c>
      <c r="F106" s="1">
        <f t="shared" si="7"/>
        <v>20.226537216828479</v>
      </c>
      <c r="G106" s="1">
        <v>4.9439999999999998E-2</v>
      </c>
      <c r="H106" s="1">
        <v>213.58</v>
      </c>
      <c r="I106" s="1">
        <v>404.32</v>
      </c>
      <c r="J106" s="1">
        <v>1.0485</v>
      </c>
      <c r="K106" s="1">
        <v>1.7221</v>
      </c>
      <c r="L106" s="1">
        <v>1.37</v>
      </c>
      <c r="M106" s="1">
        <v>0.94499999999999995</v>
      </c>
      <c r="N106" s="1">
        <v>1.196</v>
      </c>
      <c r="O106" s="1">
        <v>576</v>
      </c>
      <c r="P106" s="1">
        <v>146.4</v>
      </c>
      <c r="Q106" s="1">
        <v>238.8</v>
      </c>
      <c r="R106" s="1">
        <v>11.15</v>
      </c>
      <c r="S106" s="1">
        <v>87.6</v>
      </c>
      <c r="T106" s="1">
        <v>12.4</v>
      </c>
      <c r="U106" s="1">
        <v>10.14</v>
      </c>
      <c r="V106" s="1">
        <v>10</v>
      </c>
    </row>
    <row r="107" spans="2:22">
      <c r="B107" s="1">
        <v>12</v>
      </c>
      <c r="C107" s="1">
        <v>0.44301000000000001</v>
      </c>
      <c r="D107" s="108">
        <f t="shared" si="6"/>
        <v>64.253284380000011</v>
      </c>
      <c r="E107" s="1">
        <v>1254</v>
      </c>
      <c r="F107" s="1">
        <f t="shared" si="7"/>
        <v>21.584286639326567</v>
      </c>
      <c r="G107" s="1">
        <v>4.6330000000000003E-2</v>
      </c>
      <c r="H107" s="1">
        <v>216.33</v>
      </c>
      <c r="I107" s="1">
        <v>405.43</v>
      </c>
      <c r="J107" s="1">
        <v>1.0581</v>
      </c>
      <c r="K107" s="1">
        <v>1.7212000000000001</v>
      </c>
      <c r="L107" s="1">
        <v>1.377</v>
      </c>
      <c r="M107" s="1">
        <v>0.95599999999999996</v>
      </c>
      <c r="N107" s="1">
        <v>1.2</v>
      </c>
      <c r="O107" s="1">
        <v>566</v>
      </c>
      <c r="P107" s="1">
        <v>146.19999999999999</v>
      </c>
      <c r="Q107" s="1">
        <v>232.9</v>
      </c>
      <c r="R107" s="1">
        <v>11.23</v>
      </c>
      <c r="S107" s="1">
        <v>86.7</v>
      </c>
      <c r="T107" s="1">
        <v>12.58</v>
      </c>
      <c r="U107" s="1">
        <v>9.86</v>
      </c>
      <c r="V107" s="1">
        <v>12</v>
      </c>
    </row>
    <row r="108" spans="2:22">
      <c r="B108" s="1">
        <v>14</v>
      </c>
      <c r="C108" s="1">
        <v>0.47288000000000002</v>
      </c>
      <c r="D108" s="108">
        <f t="shared" si="6"/>
        <v>68.585569440000015</v>
      </c>
      <c r="E108" s="1">
        <v>1246.9000000000001</v>
      </c>
      <c r="F108" s="1">
        <f t="shared" si="7"/>
        <v>23.014959723820482</v>
      </c>
      <c r="G108" s="1">
        <v>4.3450000000000003E-2</v>
      </c>
      <c r="H108" s="1">
        <v>219.09</v>
      </c>
      <c r="I108" s="1">
        <v>406.53</v>
      </c>
      <c r="J108" s="1">
        <v>1.0677000000000001</v>
      </c>
      <c r="K108" s="1">
        <v>1.7203999999999999</v>
      </c>
      <c r="L108" s="1">
        <v>1.383</v>
      </c>
      <c r="M108" s="1">
        <v>0.96699999999999997</v>
      </c>
      <c r="N108" s="1">
        <v>1.204</v>
      </c>
      <c r="O108" s="1">
        <v>557</v>
      </c>
      <c r="P108" s="1">
        <v>146</v>
      </c>
      <c r="Q108" s="1">
        <v>227.1</v>
      </c>
      <c r="R108" s="1">
        <v>11.32</v>
      </c>
      <c r="S108" s="1">
        <v>85.9</v>
      </c>
      <c r="T108" s="1">
        <v>12.77</v>
      </c>
      <c r="U108" s="1">
        <v>9.58</v>
      </c>
      <c r="V108" s="1">
        <v>14</v>
      </c>
    </row>
    <row r="109" spans="2:22">
      <c r="B109" s="1">
        <v>16</v>
      </c>
      <c r="C109" s="1">
        <v>0.50424999999999998</v>
      </c>
      <c r="D109" s="108">
        <f t="shared" si="6"/>
        <v>73.135411500000004</v>
      </c>
      <c r="E109" s="1">
        <v>1239.8</v>
      </c>
      <c r="F109" s="1">
        <f t="shared" si="7"/>
        <v>24.521824423737129</v>
      </c>
      <c r="G109" s="1">
        <v>4.0779999999999997E-2</v>
      </c>
      <c r="H109" s="1">
        <v>221.87</v>
      </c>
      <c r="I109" s="1">
        <v>407.61</v>
      </c>
      <c r="J109" s="1">
        <v>1.0771999999999999</v>
      </c>
      <c r="K109" s="1">
        <v>1.7196</v>
      </c>
      <c r="L109" s="1">
        <v>1.39</v>
      </c>
      <c r="M109" s="1">
        <v>0.97799999999999998</v>
      </c>
      <c r="N109" s="1">
        <v>1.2090000000000001</v>
      </c>
      <c r="O109" s="1">
        <v>548</v>
      </c>
      <c r="P109" s="1">
        <v>145.69999999999999</v>
      </c>
      <c r="Q109" s="1">
        <v>221.5</v>
      </c>
      <c r="R109" s="1">
        <v>11.4</v>
      </c>
      <c r="S109" s="1">
        <v>85</v>
      </c>
      <c r="T109" s="1">
        <v>12.95</v>
      </c>
      <c r="U109" s="1">
        <v>9.3000000000000007</v>
      </c>
      <c r="V109" s="1">
        <v>16</v>
      </c>
    </row>
    <row r="110" spans="2:22">
      <c r="B110" s="1">
        <v>18</v>
      </c>
      <c r="C110" s="1">
        <v>0.53717999999999999</v>
      </c>
      <c r="D110" s="108">
        <f t="shared" si="6"/>
        <v>77.91151284</v>
      </c>
      <c r="E110" s="1">
        <v>1232.5999999999999</v>
      </c>
      <c r="F110" s="1">
        <f t="shared" si="7"/>
        <v>26.109660574412533</v>
      </c>
      <c r="G110" s="1">
        <v>3.8300000000000001E-2</v>
      </c>
      <c r="H110" s="1">
        <v>224.66</v>
      </c>
      <c r="I110" s="1">
        <v>408.69</v>
      </c>
      <c r="J110" s="1">
        <v>1.0867</v>
      </c>
      <c r="K110" s="1">
        <v>1.7188000000000001</v>
      </c>
      <c r="L110" s="1">
        <v>1.397</v>
      </c>
      <c r="M110" s="1">
        <v>0.98899999999999999</v>
      </c>
      <c r="N110" s="1">
        <v>1.214</v>
      </c>
      <c r="O110" s="1">
        <v>539</v>
      </c>
      <c r="P110" s="1">
        <v>145.5</v>
      </c>
      <c r="Q110" s="1">
        <v>216</v>
      </c>
      <c r="R110" s="1">
        <v>11.49</v>
      </c>
      <c r="S110" s="1">
        <v>84.1</v>
      </c>
      <c r="T110" s="1">
        <v>13.14</v>
      </c>
      <c r="U110" s="1">
        <v>9.0299999999999994</v>
      </c>
      <c r="V110" s="1">
        <v>18</v>
      </c>
    </row>
    <row r="111" spans="2:22">
      <c r="B111" s="1">
        <v>20</v>
      </c>
      <c r="C111" s="1">
        <v>0.57171000000000005</v>
      </c>
      <c r="D111" s="108">
        <f t="shared" si="6"/>
        <v>82.919674980000011</v>
      </c>
      <c r="E111" s="1">
        <v>1225.3</v>
      </c>
      <c r="F111" s="1">
        <f t="shared" si="7"/>
        <v>27.777777777777779</v>
      </c>
      <c r="G111" s="1">
        <v>3.5999999999999997E-2</v>
      </c>
      <c r="H111" s="1">
        <v>227.47</v>
      </c>
      <c r="I111" s="1">
        <v>409.75</v>
      </c>
      <c r="J111" s="1">
        <v>1.0962000000000001</v>
      </c>
      <c r="K111" s="1">
        <v>1.718</v>
      </c>
      <c r="L111" s="1">
        <v>1.405</v>
      </c>
      <c r="M111" s="1">
        <v>1.0009999999999999</v>
      </c>
      <c r="N111" s="1">
        <v>1.2190000000000001</v>
      </c>
      <c r="O111" s="1">
        <v>530</v>
      </c>
      <c r="P111" s="1">
        <v>145.1</v>
      </c>
      <c r="Q111" s="1">
        <v>210.7</v>
      </c>
      <c r="R111" s="1">
        <v>11.58</v>
      </c>
      <c r="S111" s="1">
        <v>83.3</v>
      </c>
      <c r="T111" s="1">
        <v>13.33</v>
      </c>
      <c r="U111" s="1">
        <v>8.76</v>
      </c>
      <c r="V111" s="1">
        <v>20</v>
      </c>
    </row>
    <row r="112" spans="2:22">
      <c r="B112" s="1">
        <v>22</v>
      </c>
      <c r="C112" s="1">
        <v>0.60789000000000004</v>
      </c>
      <c r="D112" s="108">
        <f t="shared" si="6"/>
        <v>88.167149820000006</v>
      </c>
      <c r="E112" s="1">
        <v>1218</v>
      </c>
      <c r="F112" s="1">
        <f t="shared" si="7"/>
        <v>29.542097488921716</v>
      </c>
      <c r="G112" s="1">
        <v>3.3849999999999998E-2</v>
      </c>
      <c r="H112" s="1">
        <v>230.29</v>
      </c>
      <c r="I112" s="1">
        <v>410.79</v>
      </c>
      <c r="J112" s="1">
        <v>1.1056999999999999</v>
      </c>
      <c r="K112" s="1">
        <v>1.7173</v>
      </c>
      <c r="L112" s="1">
        <v>1.413</v>
      </c>
      <c r="M112" s="1">
        <v>1.0129999999999999</v>
      </c>
      <c r="N112" s="1">
        <v>1.224</v>
      </c>
      <c r="O112" s="1">
        <v>520</v>
      </c>
      <c r="P112" s="1">
        <v>144.80000000000001</v>
      </c>
      <c r="Q112" s="1">
        <v>205.5</v>
      </c>
      <c r="R112" s="1">
        <v>11.67</v>
      </c>
      <c r="S112" s="1">
        <v>82.4</v>
      </c>
      <c r="T112" s="1">
        <v>13.53</v>
      </c>
      <c r="U112" s="1">
        <v>8.48</v>
      </c>
      <c r="V112" s="1">
        <v>22</v>
      </c>
    </row>
    <row r="113" spans="2:22">
      <c r="B113" s="1">
        <v>24</v>
      </c>
      <c r="C113" s="1">
        <v>0.64578000000000002</v>
      </c>
      <c r="D113" s="108">
        <f t="shared" si="6"/>
        <v>93.662639640000009</v>
      </c>
      <c r="E113" s="1">
        <v>1210.5</v>
      </c>
      <c r="F113" s="1">
        <f t="shared" si="7"/>
        <v>31.387319522912744</v>
      </c>
      <c r="G113" s="1">
        <v>3.1859999999999999E-2</v>
      </c>
      <c r="H113" s="1">
        <v>233.12</v>
      </c>
      <c r="I113" s="1">
        <v>411.82</v>
      </c>
      <c r="J113" s="1">
        <v>1.1152</v>
      </c>
      <c r="K113" s="1">
        <v>1.7165999999999999</v>
      </c>
      <c r="L113" s="1">
        <v>1.421</v>
      </c>
      <c r="M113" s="1">
        <v>1.0249999999999999</v>
      </c>
      <c r="N113" s="1">
        <v>1.23</v>
      </c>
      <c r="O113" s="1">
        <v>511</v>
      </c>
      <c r="P113" s="1">
        <v>144.5</v>
      </c>
      <c r="Q113" s="1">
        <v>200.4</v>
      </c>
      <c r="R113" s="1">
        <v>11.76</v>
      </c>
      <c r="S113" s="1">
        <v>81.599999999999994</v>
      </c>
      <c r="T113" s="1">
        <v>13.72</v>
      </c>
      <c r="U113" s="1">
        <v>8.2100000000000009</v>
      </c>
      <c r="V113" s="1">
        <v>24</v>
      </c>
    </row>
    <row r="114" spans="2:22">
      <c r="B114" s="1">
        <v>26</v>
      </c>
      <c r="C114" s="1">
        <v>0.68542999999999998</v>
      </c>
      <c r="D114" s="108">
        <f t="shared" si="6"/>
        <v>99.413396340000006</v>
      </c>
      <c r="E114" s="1">
        <v>1202.9000000000001</v>
      </c>
      <c r="F114" s="1">
        <f t="shared" si="7"/>
        <v>33.333333333333336</v>
      </c>
      <c r="G114" s="1">
        <v>0.03</v>
      </c>
      <c r="H114" s="1">
        <v>235.97</v>
      </c>
      <c r="I114" s="1">
        <v>412.84</v>
      </c>
      <c r="J114" s="1">
        <v>1.1246</v>
      </c>
      <c r="K114" s="1">
        <v>1.7159</v>
      </c>
      <c r="L114" s="1">
        <v>1.429</v>
      </c>
      <c r="M114" s="1">
        <v>1.038</v>
      </c>
      <c r="N114" s="1">
        <v>1.236</v>
      </c>
      <c r="O114" s="1">
        <v>502</v>
      </c>
      <c r="P114" s="1">
        <v>144.1</v>
      </c>
      <c r="Q114" s="1">
        <v>195.4</v>
      </c>
      <c r="R114" s="1">
        <v>11.85</v>
      </c>
      <c r="S114" s="1">
        <v>80.7</v>
      </c>
      <c r="T114" s="1">
        <v>13.92</v>
      </c>
      <c r="U114" s="1">
        <v>7.95</v>
      </c>
      <c r="V114" s="1">
        <v>26</v>
      </c>
    </row>
    <row r="115" spans="2:22">
      <c r="B115" s="1">
        <v>28</v>
      </c>
      <c r="C115" s="1">
        <v>0.72687999999999997</v>
      </c>
      <c r="D115" s="108">
        <f t="shared" si="6"/>
        <v>105.42522144</v>
      </c>
      <c r="E115" s="1">
        <v>1195.2</v>
      </c>
      <c r="F115" s="1">
        <f t="shared" si="7"/>
        <v>35.385704175513091</v>
      </c>
      <c r="G115" s="1">
        <v>2.826E-2</v>
      </c>
      <c r="H115" s="1">
        <v>238.84</v>
      </c>
      <c r="I115" s="1">
        <v>413.84</v>
      </c>
      <c r="J115" s="1">
        <v>1.1341000000000001</v>
      </c>
      <c r="K115" s="1">
        <v>1.7152000000000001</v>
      </c>
      <c r="L115" s="1">
        <v>1.4370000000000001</v>
      </c>
      <c r="M115" s="1">
        <v>1.052</v>
      </c>
      <c r="N115" s="1">
        <v>1.2430000000000001</v>
      </c>
      <c r="O115" s="1">
        <v>493</v>
      </c>
      <c r="P115" s="1">
        <v>143.6</v>
      </c>
      <c r="Q115" s="1">
        <v>190.5</v>
      </c>
      <c r="R115" s="1">
        <v>11.95</v>
      </c>
      <c r="S115" s="1">
        <v>79.8</v>
      </c>
      <c r="T115" s="1">
        <v>14.13</v>
      </c>
      <c r="U115" s="1">
        <v>7.68</v>
      </c>
      <c r="V115" s="1">
        <v>28</v>
      </c>
    </row>
    <row r="116" spans="2:22">
      <c r="B116" s="1">
        <v>30</v>
      </c>
      <c r="C116" s="1">
        <v>0.7702</v>
      </c>
      <c r="D116" s="108">
        <f t="shared" si="6"/>
        <v>111.70826760000001</v>
      </c>
      <c r="E116" s="1">
        <v>1187.5</v>
      </c>
      <c r="F116" s="1">
        <f t="shared" si="7"/>
        <v>37.537537537537538</v>
      </c>
      <c r="G116" s="1">
        <v>2.664E-2</v>
      </c>
      <c r="H116" s="1">
        <v>241.72</v>
      </c>
      <c r="I116" s="1">
        <v>414.82</v>
      </c>
      <c r="J116" s="1">
        <v>1.1435</v>
      </c>
      <c r="K116" s="1">
        <v>1.7144999999999999</v>
      </c>
      <c r="L116" s="1">
        <v>1.446</v>
      </c>
      <c r="M116" s="1">
        <v>1.0649999999999999</v>
      </c>
      <c r="N116" s="1">
        <v>1.2490000000000001</v>
      </c>
      <c r="O116" s="1">
        <v>483</v>
      </c>
      <c r="P116" s="1">
        <v>143.19999999999999</v>
      </c>
      <c r="Q116" s="1">
        <v>185.8</v>
      </c>
      <c r="R116" s="1">
        <v>12.04</v>
      </c>
      <c r="S116" s="1">
        <v>79</v>
      </c>
      <c r="T116" s="1">
        <v>14.33</v>
      </c>
      <c r="U116" s="1">
        <v>7.42</v>
      </c>
      <c r="V116" s="1">
        <v>30</v>
      </c>
    </row>
    <row r="117" spans="2:22">
      <c r="B117" s="1">
        <v>32</v>
      </c>
      <c r="C117" s="1">
        <v>0.81542999999999999</v>
      </c>
      <c r="D117" s="108">
        <f t="shared" si="6"/>
        <v>118.26833634</v>
      </c>
      <c r="E117" s="1">
        <v>1179.5999999999999</v>
      </c>
      <c r="F117" s="1">
        <f t="shared" si="7"/>
        <v>39.793076004775173</v>
      </c>
      <c r="G117" s="1">
        <v>2.513E-2</v>
      </c>
      <c r="H117" s="1">
        <v>244.62</v>
      </c>
      <c r="I117" s="1">
        <v>415.78</v>
      </c>
      <c r="J117" s="1">
        <v>1.1529</v>
      </c>
      <c r="K117" s="1">
        <v>1.7138</v>
      </c>
      <c r="L117" s="1">
        <v>1.456</v>
      </c>
      <c r="M117" s="1">
        <v>1.08</v>
      </c>
      <c r="N117" s="1">
        <v>1.2569999999999999</v>
      </c>
      <c r="O117" s="1">
        <v>474</v>
      </c>
      <c r="P117" s="1">
        <v>142.69999999999999</v>
      </c>
      <c r="Q117" s="1">
        <v>181.1</v>
      </c>
      <c r="R117" s="1">
        <v>12.14</v>
      </c>
      <c r="S117" s="1">
        <v>78.099999999999994</v>
      </c>
      <c r="T117" s="1">
        <v>14.54</v>
      </c>
      <c r="U117" s="1">
        <v>7.15</v>
      </c>
      <c r="V117" s="1">
        <v>32</v>
      </c>
    </row>
    <row r="118" spans="2:22">
      <c r="B118" s="1">
        <v>34</v>
      </c>
      <c r="C118" s="1">
        <v>0.86263000000000001</v>
      </c>
      <c r="D118" s="108">
        <f t="shared" si="6"/>
        <v>125.11412994000001</v>
      </c>
      <c r="E118" s="1">
        <v>1171.5999999999999</v>
      </c>
      <c r="F118" s="1">
        <f t="shared" si="7"/>
        <v>42.17629692113033</v>
      </c>
      <c r="G118" s="1">
        <v>2.3709999999999998E-2</v>
      </c>
      <c r="H118" s="1">
        <v>247.54</v>
      </c>
      <c r="I118" s="1">
        <v>416.72</v>
      </c>
      <c r="J118" s="1">
        <v>1.1623000000000001</v>
      </c>
      <c r="K118" s="1">
        <v>1.7131000000000001</v>
      </c>
      <c r="L118" s="1">
        <v>1.466</v>
      </c>
      <c r="M118" s="1">
        <v>1.095</v>
      </c>
      <c r="N118" s="1">
        <v>1.2649999999999999</v>
      </c>
      <c r="O118" s="1">
        <v>465</v>
      </c>
      <c r="P118" s="1">
        <v>142.1</v>
      </c>
      <c r="Q118" s="1">
        <v>176.6</v>
      </c>
      <c r="R118" s="1">
        <v>12.24</v>
      </c>
      <c r="S118" s="1">
        <v>77.3</v>
      </c>
      <c r="T118" s="1">
        <v>14.76</v>
      </c>
      <c r="U118" s="1">
        <v>6.89</v>
      </c>
      <c r="V118" s="1">
        <v>34</v>
      </c>
    </row>
    <row r="119" spans="2:22">
      <c r="B119" s="1">
        <v>36</v>
      </c>
      <c r="C119" s="1">
        <v>0.91185000000000005</v>
      </c>
      <c r="D119" s="108">
        <f t="shared" si="6"/>
        <v>132.25290030000002</v>
      </c>
      <c r="E119" s="1">
        <v>1163.4000000000001</v>
      </c>
      <c r="F119" s="1">
        <f t="shared" si="7"/>
        <v>44.682752457551381</v>
      </c>
      <c r="G119" s="1">
        <v>2.2380000000000001E-2</v>
      </c>
      <c r="H119" s="1">
        <v>250.48</v>
      </c>
      <c r="I119" s="1">
        <v>417.65</v>
      </c>
      <c r="J119" s="1">
        <v>1.1717</v>
      </c>
      <c r="K119" s="1">
        <v>1.7123999999999999</v>
      </c>
      <c r="L119" s="1">
        <v>1.476</v>
      </c>
      <c r="M119" s="1">
        <v>1.111</v>
      </c>
      <c r="N119" s="1">
        <v>1.2729999999999999</v>
      </c>
      <c r="O119" s="1">
        <v>455</v>
      </c>
      <c r="P119" s="1">
        <v>141.6</v>
      </c>
      <c r="Q119" s="1">
        <v>172.1</v>
      </c>
      <c r="R119" s="1">
        <v>12.34</v>
      </c>
      <c r="S119" s="1">
        <v>76.400000000000006</v>
      </c>
      <c r="T119" s="1">
        <v>14.98</v>
      </c>
      <c r="U119" s="1">
        <v>6.64</v>
      </c>
      <c r="V119" s="1">
        <v>36</v>
      </c>
    </row>
    <row r="120" spans="2:22">
      <c r="B120" s="1">
        <v>38</v>
      </c>
      <c r="C120" s="1">
        <v>0.96314999999999995</v>
      </c>
      <c r="D120" s="108">
        <f t="shared" si="6"/>
        <v>139.6933497</v>
      </c>
      <c r="E120" s="1">
        <v>1155.0999999999999</v>
      </c>
      <c r="F120" s="1">
        <f t="shared" si="7"/>
        <v>47.326076668244205</v>
      </c>
      <c r="G120" s="1">
        <v>2.1129999999999999E-2</v>
      </c>
      <c r="H120" s="1">
        <v>253.43</v>
      </c>
      <c r="I120" s="1">
        <v>418.55</v>
      </c>
      <c r="J120" s="1">
        <v>1.1811</v>
      </c>
      <c r="K120" s="1">
        <v>1.7118</v>
      </c>
      <c r="L120" s="1">
        <v>1.4870000000000001</v>
      </c>
      <c r="M120" s="1">
        <v>1.127</v>
      </c>
      <c r="N120" s="1">
        <v>1.282</v>
      </c>
      <c r="O120" s="1">
        <v>446</v>
      </c>
      <c r="P120" s="1">
        <v>141</v>
      </c>
      <c r="Q120" s="1">
        <v>167.7</v>
      </c>
      <c r="R120" s="1">
        <v>12.44</v>
      </c>
      <c r="S120" s="1">
        <v>75.599999999999994</v>
      </c>
      <c r="T120" s="1">
        <v>15.21</v>
      </c>
      <c r="U120" s="1">
        <v>6.38</v>
      </c>
      <c r="V120" s="1">
        <v>38</v>
      </c>
    </row>
    <row r="121" spans="2:22">
      <c r="B121" s="1">
        <v>40</v>
      </c>
      <c r="C121" s="1">
        <v>1.0165999999999999</v>
      </c>
      <c r="D121" s="108">
        <f t="shared" si="6"/>
        <v>147.4456308</v>
      </c>
      <c r="E121" s="1">
        <v>1146.7</v>
      </c>
      <c r="F121" s="1">
        <f t="shared" si="7"/>
        <v>50.075112669003502</v>
      </c>
      <c r="G121" s="1">
        <v>1.9970000000000002E-2</v>
      </c>
      <c r="H121" s="1">
        <v>256.41000000000003</v>
      </c>
      <c r="I121" s="1">
        <v>419.43</v>
      </c>
      <c r="J121" s="1">
        <v>1.1904999999999999</v>
      </c>
      <c r="K121" s="1">
        <v>1.7111000000000001</v>
      </c>
      <c r="L121" s="1">
        <v>1.498</v>
      </c>
      <c r="M121" s="1">
        <v>1.145</v>
      </c>
      <c r="N121" s="1">
        <v>1.292</v>
      </c>
      <c r="O121" s="1">
        <v>436</v>
      </c>
      <c r="P121" s="1">
        <v>140.30000000000001</v>
      </c>
      <c r="Q121" s="1">
        <v>163.4</v>
      </c>
      <c r="R121" s="1">
        <v>12.55</v>
      </c>
      <c r="S121" s="1">
        <v>74.7</v>
      </c>
      <c r="T121" s="1">
        <v>15.44</v>
      </c>
      <c r="U121" s="1">
        <v>6.13</v>
      </c>
      <c r="V121" s="1">
        <v>40</v>
      </c>
    </row>
    <row r="122" spans="2:22">
      <c r="B122" s="1">
        <v>42</v>
      </c>
      <c r="C122" s="1">
        <v>1.0722</v>
      </c>
      <c r="D122" s="108">
        <f t="shared" si="6"/>
        <v>155.50974360000001</v>
      </c>
      <c r="E122" s="1">
        <v>1138.2</v>
      </c>
      <c r="F122" s="1">
        <f t="shared" si="7"/>
        <v>52.994170641229459</v>
      </c>
      <c r="G122" s="1">
        <v>1.8870000000000001E-2</v>
      </c>
      <c r="H122" s="1">
        <v>259.41000000000003</v>
      </c>
      <c r="I122" s="1">
        <v>420.28</v>
      </c>
      <c r="J122" s="1">
        <v>1.1999</v>
      </c>
      <c r="K122" s="1">
        <v>1.7102999999999999</v>
      </c>
      <c r="L122" s="1">
        <v>1.51</v>
      </c>
      <c r="M122" s="1">
        <v>1.163</v>
      </c>
      <c r="N122" s="1">
        <v>1.3029999999999999</v>
      </c>
      <c r="O122" s="1">
        <v>427</v>
      </c>
      <c r="P122" s="1">
        <v>139.69999999999999</v>
      </c>
      <c r="Q122" s="1">
        <v>159.19999999999999</v>
      </c>
      <c r="R122" s="1">
        <v>12.65</v>
      </c>
      <c r="S122" s="1">
        <v>73.900000000000006</v>
      </c>
      <c r="T122" s="1">
        <v>15.68</v>
      </c>
      <c r="U122" s="1">
        <v>5.88</v>
      </c>
      <c r="V122" s="1">
        <v>42</v>
      </c>
    </row>
    <row r="123" spans="2:22">
      <c r="B123" s="1">
        <v>44</v>
      </c>
      <c r="C123" s="1">
        <v>1.1301000000000001</v>
      </c>
      <c r="D123" s="108">
        <f t="shared" si="6"/>
        <v>163.90744380000004</v>
      </c>
      <c r="E123" s="1">
        <v>1129.5</v>
      </c>
      <c r="F123" s="1">
        <f t="shared" si="7"/>
        <v>56.053811659192817</v>
      </c>
      <c r="G123" s="1">
        <v>1.7840000000000002E-2</v>
      </c>
      <c r="H123" s="1">
        <v>262.43</v>
      </c>
      <c r="I123" s="1">
        <v>421.11</v>
      </c>
      <c r="J123" s="1">
        <v>1.2092000000000001</v>
      </c>
      <c r="K123" s="1">
        <v>1.7096</v>
      </c>
      <c r="L123" s="1">
        <v>1.5229999999999999</v>
      </c>
      <c r="M123" s="1">
        <v>1.1819999999999999</v>
      </c>
      <c r="N123" s="1">
        <v>1.3140000000000001</v>
      </c>
      <c r="O123" s="1">
        <v>418</v>
      </c>
      <c r="P123" s="1">
        <v>138.9</v>
      </c>
      <c r="Q123" s="1">
        <v>155.1</v>
      </c>
      <c r="R123" s="1">
        <v>12.76</v>
      </c>
      <c r="S123" s="1">
        <v>73</v>
      </c>
      <c r="T123" s="1">
        <v>15.93</v>
      </c>
      <c r="U123" s="1">
        <v>5.63</v>
      </c>
      <c r="V123" s="1">
        <v>44</v>
      </c>
    </row>
    <row r="124" spans="2:22">
      <c r="B124" s="1">
        <v>46</v>
      </c>
      <c r="C124" s="1">
        <v>1.1902999999999999</v>
      </c>
      <c r="D124" s="108">
        <f t="shared" si="6"/>
        <v>172.63873140000001</v>
      </c>
      <c r="E124" s="1">
        <v>1120.5999999999999</v>
      </c>
      <c r="F124" s="1">
        <f t="shared" si="7"/>
        <v>59.276822762299943</v>
      </c>
      <c r="G124" s="1">
        <v>1.687E-2</v>
      </c>
      <c r="H124" s="1">
        <v>265.47000000000003</v>
      </c>
      <c r="I124" s="1">
        <v>421.92</v>
      </c>
      <c r="J124" s="1">
        <v>1.2185999999999999</v>
      </c>
      <c r="K124" s="1">
        <v>1.7089000000000001</v>
      </c>
      <c r="L124" s="1">
        <v>1.5369999999999999</v>
      </c>
      <c r="M124" s="1">
        <v>1.202</v>
      </c>
      <c r="N124" s="1">
        <v>1.3260000000000001</v>
      </c>
      <c r="O124" s="1">
        <v>408</v>
      </c>
      <c r="P124" s="1">
        <v>138.19999999999999</v>
      </c>
      <c r="Q124" s="1">
        <v>151</v>
      </c>
      <c r="R124" s="1">
        <v>12.88</v>
      </c>
      <c r="S124" s="1">
        <v>72.099999999999994</v>
      </c>
      <c r="T124" s="1">
        <v>16.18</v>
      </c>
      <c r="U124" s="1">
        <v>5.38</v>
      </c>
      <c r="V124" s="1">
        <v>46</v>
      </c>
    </row>
    <row r="125" spans="2:22">
      <c r="B125" s="1">
        <v>48</v>
      </c>
      <c r="C125" s="1">
        <v>1.2528999999999999</v>
      </c>
      <c r="D125" s="108">
        <f t="shared" si="6"/>
        <v>181.71811020000001</v>
      </c>
      <c r="E125" s="1">
        <v>1111.5</v>
      </c>
      <c r="F125" s="1">
        <f t="shared" si="7"/>
        <v>62.695924764890286</v>
      </c>
      <c r="G125" s="1">
        <v>1.5949999999999999E-2</v>
      </c>
      <c r="H125" s="1">
        <v>268.52999999999997</v>
      </c>
      <c r="I125" s="1">
        <v>422.69</v>
      </c>
      <c r="J125" s="1">
        <v>1.228</v>
      </c>
      <c r="K125" s="1">
        <v>1.7081</v>
      </c>
      <c r="L125" s="1">
        <v>1.5509999999999999</v>
      </c>
      <c r="M125" s="1">
        <v>1.2230000000000001</v>
      </c>
      <c r="N125" s="1">
        <v>1.339</v>
      </c>
      <c r="O125" s="1">
        <v>399</v>
      </c>
      <c r="P125" s="1">
        <v>137.4</v>
      </c>
      <c r="Q125" s="1">
        <v>147</v>
      </c>
      <c r="R125" s="1">
        <v>13</v>
      </c>
      <c r="S125" s="1">
        <v>71.3</v>
      </c>
      <c r="T125" s="1">
        <v>16.45</v>
      </c>
      <c r="U125" s="1">
        <v>5.13</v>
      </c>
      <c r="V125" s="1">
        <v>48</v>
      </c>
    </row>
    <row r="126" spans="2:22">
      <c r="B126" s="1">
        <v>50</v>
      </c>
      <c r="C126" s="1">
        <v>1.3179000000000001</v>
      </c>
      <c r="D126" s="108">
        <f t="shared" si="6"/>
        <v>191.14558020000001</v>
      </c>
      <c r="E126" s="1">
        <v>1102.3</v>
      </c>
      <c r="F126" s="1">
        <f t="shared" si="7"/>
        <v>66.269052352551356</v>
      </c>
      <c r="G126" s="1">
        <v>1.5089999999999999E-2</v>
      </c>
      <c r="H126" s="1">
        <v>271.62</v>
      </c>
      <c r="I126" s="1">
        <v>423.44</v>
      </c>
      <c r="J126" s="1">
        <v>1.2375</v>
      </c>
      <c r="K126" s="1">
        <v>1.7072000000000001</v>
      </c>
      <c r="L126" s="1">
        <v>1.5660000000000001</v>
      </c>
      <c r="M126" s="1">
        <v>1.246</v>
      </c>
      <c r="N126" s="1">
        <v>1.3540000000000001</v>
      </c>
      <c r="O126" s="1">
        <v>389</v>
      </c>
      <c r="P126" s="1">
        <v>136.6</v>
      </c>
      <c r="Q126" s="1">
        <v>143.1</v>
      </c>
      <c r="R126" s="1">
        <v>13.12</v>
      </c>
      <c r="S126" s="1">
        <v>70.400000000000006</v>
      </c>
      <c r="T126" s="1">
        <v>16.72</v>
      </c>
      <c r="U126" s="1">
        <v>4.8899999999999997</v>
      </c>
      <c r="V126" s="1">
        <v>50</v>
      </c>
    </row>
    <row r="127" spans="2:22">
      <c r="B127" s="1">
        <v>52</v>
      </c>
      <c r="C127" s="1">
        <v>1.3854</v>
      </c>
      <c r="D127" s="108">
        <f t="shared" si="6"/>
        <v>200.93564520000001</v>
      </c>
      <c r="E127" s="1">
        <v>1092.9000000000001</v>
      </c>
      <c r="F127" s="1">
        <f t="shared" si="7"/>
        <v>70.0280112044818</v>
      </c>
      <c r="G127" s="1">
        <v>1.4279999999999999E-2</v>
      </c>
      <c r="H127" s="1">
        <v>274.74</v>
      </c>
      <c r="I127" s="1">
        <v>424.15</v>
      </c>
      <c r="J127" s="1">
        <v>1.2468999999999999</v>
      </c>
      <c r="K127" s="1">
        <v>1.7063999999999999</v>
      </c>
      <c r="L127" s="1">
        <v>1.5820000000000001</v>
      </c>
      <c r="M127" s="1">
        <v>1.27</v>
      </c>
      <c r="N127" s="1">
        <v>1.369</v>
      </c>
      <c r="O127" s="1">
        <v>379</v>
      </c>
      <c r="P127" s="1">
        <v>135.69999999999999</v>
      </c>
      <c r="Q127" s="1">
        <v>139.19999999999999</v>
      </c>
      <c r="R127" s="1">
        <v>13.24</v>
      </c>
      <c r="S127" s="1">
        <v>69.599999999999994</v>
      </c>
      <c r="T127" s="1">
        <v>17.010000000000002</v>
      </c>
      <c r="U127" s="1">
        <v>4.6500000000000004</v>
      </c>
      <c r="V127" s="1">
        <v>52</v>
      </c>
    </row>
    <row r="128" spans="2:22">
      <c r="B128" s="1">
        <v>54</v>
      </c>
      <c r="C128" s="1">
        <v>1.4555</v>
      </c>
      <c r="D128" s="108">
        <f t="shared" si="6"/>
        <v>211.10280900000001</v>
      </c>
      <c r="E128" s="1">
        <v>1083.2</v>
      </c>
      <c r="F128" s="1">
        <f t="shared" si="7"/>
        <v>74.019245003700959</v>
      </c>
      <c r="G128" s="1">
        <v>1.3509999999999999E-2</v>
      </c>
      <c r="H128" s="1">
        <v>277.89</v>
      </c>
      <c r="I128" s="1">
        <v>424.83</v>
      </c>
      <c r="J128" s="1">
        <v>1.2563</v>
      </c>
      <c r="K128" s="1">
        <v>1.7055</v>
      </c>
      <c r="L128" s="1">
        <v>1.6</v>
      </c>
      <c r="M128" s="1">
        <v>1.296</v>
      </c>
      <c r="N128" s="1">
        <v>1.3859999999999999</v>
      </c>
      <c r="O128" s="1">
        <v>370</v>
      </c>
      <c r="P128" s="1">
        <v>134.69999999999999</v>
      </c>
      <c r="Q128" s="1">
        <v>135.4</v>
      </c>
      <c r="R128" s="1">
        <v>13.37</v>
      </c>
      <c r="S128" s="1">
        <v>68.7</v>
      </c>
      <c r="T128" s="1">
        <v>17.309999999999999</v>
      </c>
      <c r="U128" s="1">
        <v>4.41</v>
      </c>
      <c r="V128" s="1">
        <v>54</v>
      </c>
    </row>
    <row r="129" spans="2:22">
      <c r="B129" s="1">
        <v>56</v>
      </c>
      <c r="C129" s="1">
        <v>1.5282</v>
      </c>
      <c r="D129" s="108">
        <f t="shared" si="6"/>
        <v>221.6470716</v>
      </c>
      <c r="E129" s="1">
        <v>1073.4000000000001</v>
      </c>
      <c r="F129" s="1">
        <f t="shared" si="7"/>
        <v>78.247261345852891</v>
      </c>
      <c r="G129" s="1">
        <v>1.278E-2</v>
      </c>
      <c r="H129" s="1">
        <v>281.06</v>
      </c>
      <c r="I129" s="1">
        <v>425.47</v>
      </c>
      <c r="J129" s="1">
        <v>1.2658</v>
      </c>
      <c r="K129" s="1">
        <v>1.7044999999999999</v>
      </c>
      <c r="L129" s="1">
        <v>1.6180000000000001</v>
      </c>
      <c r="M129" s="1">
        <v>1.3240000000000001</v>
      </c>
      <c r="N129" s="1">
        <v>1.405</v>
      </c>
      <c r="O129" s="1">
        <v>360</v>
      </c>
      <c r="P129" s="1">
        <v>133.80000000000001</v>
      </c>
      <c r="Q129" s="1">
        <v>131.6</v>
      </c>
      <c r="R129" s="1">
        <v>13.51</v>
      </c>
      <c r="S129" s="1">
        <v>67.8</v>
      </c>
      <c r="T129" s="1">
        <v>17.63</v>
      </c>
      <c r="U129" s="1">
        <v>4.18</v>
      </c>
      <c r="V129" s="1">
        <v>56</v>
      </c>
    </row>
    <row r="130" spans="2:22">
      <c r="B130" s="1">
        <v>58</v>
      </c>
      <c r="C130" s="1">
        <v>1.6035999999999999</v>
      </c>
      <c r="D130" s="108">
        <f t="shared" si="6"/>
        <v>232.5829368</v>
      </c>
      <c r="E130" s="1">
        <v>1063.2</v>
      </c>
      <c r="F130" s="1">
        <f t="shared" si="7"/>
        <v>82.712985938792386</v>
      </c>
      <c r="G130" s="1">
        <v>1.209E-2</v>
      </c>
      <c r="H130" s="1">
        <v>284.27</v>
      </c>
      <c r="I130" s="1">
        <v>426.07</v>
      </c>
      <c r="J130" s="1">
        <v>1.2753000000000001</v>
      </c>
      <c r="K130" s="1">
        <v>1.7035</v>
      </c>
      <c r="L130" s="1">
        <v>1.6379999999999999</v>
      </c>
      <c r="M130" s="1">
        <v>1.3540000000000001</v>
      </c>
      <c r="N130" s="1">
        <v>1.425</v>
      </c>
      <c r="O130" s="1">
        <v>350</v>
      </c>
      <c r="P130" s="1">
        <v>132.69999999999999</v>
      </c>
      <c r="Q130" s="1">
        <v>127.9</v>
      </c>
      <c r="R130" s="1">
        <v>13.65</v>
      </c>
      <c r="S130" s="1">
        <v>67</v>
      </c>
      <c r="T130" s="1">
        <v>17.96</v>
      </c>
      <c r="U130" s="1">
        <v>3.95</v>
      </c>
      <c r="V130" s="1">
        <v>58</v>
      </c>
    </row>
    <row r="131" spans="2:22">
      <c r="B131" s="1">
        <v>60</v>
      </c>
      <c r="C131" s="1">
        <v>1.6818</v>
      </c>
      <c r="D131" s="108">
        <f t="shared" si="6"/>
        <v>243.92490840000002</v>
      </c>
      <c r="E131" s="1">
        <v>1052.9000000000001</v>
      </c>
      <c r="F131" s="1">
        <f t="shared" si="7"/>
        <v>87.412587412587413</v>
      </c>
      <c r="G131" s="1">
        <v>1.1440000000000001E-2</v>
      </c>
      <c r="H131" s="1">
        <v>287.5</v>
      </c>
      <c r="I131" s="1">
        <v>426.63</v>
      </c>
      <c r="J131" s="1">
        <v>1.2847999999999999</v>
      </c>
      <c r="K131" s="1">
        <v>1.7023999999999999</v>
      </c>
      <c r="L131" s="1">
        <v>1.66</v>
      </c>
      <c r="M131" s="1">
        <v>1.387</v>
      </c>
      <c r="N131" s="1">
        <v>1.448</v>
      </c>
      <c r="O131" s="1">
        <v>340</v>
      </c>
      <c r="P131" s="1">
        <v>131.69999999999999</v>
      </c>
      <c r="Q131" s="1">
        <v>124.2</v>
      </c>
      <c r="R131" s="1">
        <v>13.79</v>
      </c>
      <c r="S131" s="1">
        <v>66.099999999999994</v>
      </c>
      <c r="T131" s="1">
        <v>18.309999999999999</v>
      </c>
      <c r="U131" s="1">
        <v>3.72</v>
      </c>
      <c r="V131" s="1">
        <v>60</v>
      </c>
    </row>
    <row r="132" spans="2:22">
      <c r="B132" s="1">
        <v>62</v>
      </c>
      <c r="C132" s="1">
        <v>1.7627999999999999</v>
      </c>
      <c r="D132" s="108">
        <f t="shared" si="6"/>
        <v>255.67298640000001</v>
      </c>
      <c r="E132" s="1">
        <v>1042.2</v>
      </c>
      <c r="F132" s="1">
        <f t="shared" si="7"/>
        <v>92.336103416435833</v>
      </c>
      <c r="G132" s="1">
        <v>1.0829999999999999E-2</v>
      </c>
      <c r="H132" s="1">
        <v>290.77999999999997</v>
      </c>
      <c r="I132" s="1">
        <v>427.14</v>
      </c>
      <c r="J132" s="1">
        <v>1.2944</v>
      </c>
      <c r="K132" s="1">
        <v>1.7013</v>
      </c>
      <c r="L132" s="1">
        <v>1.6839999999999999</v>
      </c>
      <c r="M132" s="1">
        <v>1.4219999999999999</v>
      </c>
      <c r="N132" s="1">
        <v>1.4730000000000001</v>
      </c>
      <c r="O132" s="1">
        <v>331</v>
      </c>
      <c r="P132" s="1">
        <v>130.5</v>
      </c>
      <c r="Q132" s="1">
        <v>120.6</v>
      </c>
      <c r="R132" s="1">
        <v>13.95</v>
      </c>
      <c r="S132" s="1">
        <v>65.2</v>
      </c>
      <c r="T132" s="1">
        <v>18.68</v>
      </c>
      <c r="U132" s="1">
        <v>3.49</v>
      </c>
      <c r="V132" s="1">
        <v>62</v>
      </c>
    </row>
    <row r="133" spans="2:22">
      <c r="B133" s="1">
        <v>64</v>
      </c>
      <c r="C133" s="1">
        <v>1.8467</v>
      </c>
      <c r="D133" s="108">
        <f t="shared" si="6"/>
        <v>267.84167460000003</v>
      </c>
      <c r="E133" s="1">
        <v>1031.2</v>
      </c>
      <c r="F133" s="1">
        <f t="shared" si="7"/>
        <v>97.656249999999986</v>
      </c>
      <c r="G133" s="1">
        <v>1.0240000000000001E-2</v>
      </c>
      <c r="H133" s="1">
        <v>294.08999999999997</v>
      </c>
      <c r="I133" s="1">
        <v>427.61</v>
      </c>
      <c r="J133" s="1">
        <v>1.304</v>
      </c>
      <c r="K133" s="1">
        <v>1.7</v>
      </c>
      <c r="L133" s="1">
        <v>1.71</v>
      </c>
      <c r="M133" s="1">
        <v>1.4610000000000001</v>
      </c>
      <c r="N133" s="1">
        <v>1.5009999999999999</v>
      </c>
      <c r="O133" s="1">
        <v>321</v>
      </c>
      <c r="P133" s="1">
        <v>129.4</v>
      </c>
      <c r="Q133" s="1">
        <v>117</v>
      </c>
      <c r="R133" s="1">
        <v>14.11</v>
      </c>
      <c r="S133" s="1">
        <v>64.3</v>
      </c>
      <c r="T133" s="1">
        <v>19.07</v>
      </c>
      <c r="U133" s="1">
        <v>3.27</v>
      </c>
      <c r="V133" s="1">
        <v>64</v>
      </c>
    </row>
    <row r="134" spans="2:22">
      <c r="B134" s="1">
        <v>66</v>
      </c>
      <c r="C134" s="1">
        <v>1.9337</v>
      </c>
      <c r="D134" s="108">
        <f t="shared" si="6"/>
        <v>280.45998059999999</v>
      </c>
      <c r="E134" s="1">
        <v>1020</v>
      </c>
      <c r="F134" s="1">
        <f t="shared" si="7"/>
        <v>103.19917440660474</v>
      </c>
      <c r="G134" s="1">
        <v>9.6900000000000007E-3</v>
      </c>
      <c r="H134" s="1">
        <v>297.44</v>
      </c>
      <c r="I134" s="1">
        <v>428.02</v>
      </c>
      <c r="J134" s="1">
        <v>1.3137000000000001</v>
      </c>
      <c r="K134" s="1">
        <v>1.6987000000000001</v>
      </c>
      <c r="L134" s="1">
        <v>1.738</v>
      </c>
      <c r="M134" s="1">
        <v>1.504</v>
      </c>
      <c r="N134" s="1">
        <v>1.532</v>
      </c>
      <c r="O134" s="1">
        <v>311</v>
      </c>
      <c r="P134" s="1">
        <v>128.1</v>
      </c>
      <c r="Q134" s="1">
        <v>113.5</v>
      </c>
      <c r="R134" s="1">
        <v>14.28</v>
      </c>
      <c r="S134" s="1">
        <v>63.4</v>
      </c>
      <c r="T134" s="1">
        <v>19.5</v>
      </c>
      <c r="U134" s="1">
        <v>3.05</v>
      </c>
      <c r="V134" s="1">
        <v>66</v>
      </c>
    </row>
    <row r="135" spans="2:22">
      <c r="B135" s="1">
        <v>68</v>
      </c>
      <c r="C135" s="1">
        <v>2.0236999999999998</v>
      </c>
      <c r="D135" s="108">
        <f t="shared" si="6"/>
        <v>293.51340060000001</v>
      </c>
      <c r="E135" s="1">
        <v>1008.3</v>
      </c>
      <c r="F135" s="1">
        <f t="shared" si="7"/>
        <v>109.1703056768559</v>
      </c>
      <c r="G135" s="1">
        <v>9.1599999999999997E-3</v>
      </c>
      <c r="H135" s="1">
        <v>300.83999999999997</v>
      </c>
      <c r="I135" s="1">
        <v>428.36</v>
      </c>
      <c r="J135" s="1">
        <v>1.3233999999999999</v>
      </c>
      <c r="K135" s="1">
        <v>1.6972</v>
      </c>
      <c r="L135" s="1">
        <v>1.7689999999999999</v>
      </c>
      <c r="M135" s="1">
        <v>1.552</v>
      </c>
      <c r="N135" s="1">
        <v>1.5669999999999999</v>
      </c>
      <c r="O135" s="1">
        <v>301</v>
      </c>
      <c r="P135" s="1">
        <v>126.8</v>
      </c>
      <c r="Q135" s="1">
        <v>109.9</v>
      </c>
      <c r="R135" s="1">
        <v>14.46</v>
      </c>
      <c r="S135" s="1">
        <v>62.6</v>
      </c>
      <c r="T135" s="1">
        <v>19.95</v>
      </c>
      <c r="U135" s="1">
        <v>2.83</v>
      </c>
      <c r="V135" s="1">
        <v>68</v>
      </c>
    </row>
    <row r="136" spans="2:22">
      <c r="B136" s="1">
        <v>70</v>
      </c>
      <c r="C136" s="1">
        <v>2.1168</v>
      </c>
      <c r="D136" s="108">
        <f t="shared" si="6"/>
        <v>307.01643840000003</v>
      </c>
      <c r="E136" s="1">
        <v>996.2</v>
      </c>
      <c r="F136" s="1">
        <f t="shared" si="7"/>
        <v>115.60693641618498</v>
      </c>
      <c r="G136" s="1">
        <v>8.6499999999999997E-3</v>
      </c>
      <c r="H136" s="1">
        <v>304.27999999999997</v>
      </c>
      <c r="I136" s="1">
        <v>428.65</v>
      </c>
      <c r="J136" s="1">
        <v>1.3331999999999999</v>
      </c>
      <c r="K136" s="1">
        <v>1.6956</v>
      </c>
      <c r="L136" s="1">
        <v>1.804</v>
      </c>
      <c r="M136" s="1">
        <v>1.605</v>
      </c>
      <c r="N136" s="1">
        <v>1.607</v>
      </c>
      <c r="O136" s="1">
        <v>290</v>
      </c>
      <c r="P136" s="1">
        <v>125.5</v>
      </c>
      <c r="Q136" s="1">
        <v>106.4</v>
      </c>
      <c r="R136" s="1">
        <v>14.65</v>
      </c>
      <c r="S136" s="1">
        <v>61.7</v>
      </c>
      <c r="T136" s="1">
        <v>20.45</v>
      </c>
      <c r="U136" s="1">
        <v>2.61</v>
      </c>
      <c r="V136" s="1">
        <v>70</v>
      </c>
    </row>
    <row r="137" spans="2:22">
      <c r="B137" s="1">
        <v>72</v>
      </c>
      <c r="C137" s="1">
        <v>2.2132000000000001</v>
      </c>
      <c r="D137" s="108">
        <f t="shared" ref="D137:D146" si="8">C137*145.038</f>
        <v>320.99810160000004</v>
      </c>
      <c r="E137" s="1">
        <v>983.8</v>
      </c>
      <c r="F137" s="1">
        <f t="shared" ref="F137:F146" si="9">1/G137</f>
        <v>122.39902080783354</v>
      </c>
      <c r="G137" s="1">
        <v>8.1700000000000002E-3</v>
      </c>
      <c r="H137" s="1">
        <v>307.77999999999997</v>
      </c>
      <c r="I137" s="1">
        <v>428.86</v>
      </c>
      <c r="J137" s="1">
        <v>1.343</v>
      </c>
      <c r="K137" s="1">
        <v>1.6939</v>
      </c>
      <c r="L137" s="1">
        <v>1.843</v>
      </c>
      <c r="M137" s="1">
        <v>1.665</v>
      </c>
      <c r="N137" s="1">
        <v>1.653</v>
      </c>
      <c r="O137" s="1">
        <v>280</v>
      </c>
      <c r="P137" s="1">
        <v>124</v>
      </c>
      <c r="Q137" s="1">
        <v>102.9</v>
      </c>
      <c r="R137" s="1">
        <v>14.85</v>
      </c>
      <c r="S137" s="1">
        <v>60.8</v>
      </c>
      <c r="T137" s="1">
        <v>20.98</v>
      </c>
      <c r="U137" s="1">
        <v>2.4</v>
      </c>
      <c r="V137" s="1">
        <v>72</v>
      </c>
    </row>
    <row r="138" spans="2:22">
      <c r="B138" s="1">
        <v>74</v>
      </c>
      <c r="C138" s="1">
        <v>2.3130000000000002</v>
      </c>
      <c r="D138" s="108">
        <f t="shared" si="8"/>
        <v>335.47289400000005</v>
      </c>
      <c r="E138" s="1">
        <v>970.8</v>
      </c>
      <c r="F138" s="1">
        <f t="shared" si="9"/>
        <v>129.70168612191958</v>
      </c>
      <c r="G138" s="1">
        <v>7.7099999999999998E-3</v>
      </c>
      <c r="H138" s="1">
        <v>311.33</v>
      </c>
      <c r="I138" s="1">
        <v>429</v>
      </c>
      <c r="J138" s="1">
        <v>1.353</v>
      </c>
      <c r="K138" s="1">
        <v>1.6919999999999999</v>
      </c>
      <c r="L138" s="1">
        <v>1.887</v>
      </c>
      <c r="M138" s="1">
        <v>1.734</v>
      </c>
      <c r="N138" s="1">
        <v>1.7050000000000001</v>
      </c>
      <c r="O138" s="1">
        <v>269</v>
      </c>
      <c r="P138" s="1">
        <v>122.6</v>
      </c>
      <c r="Q138" s="1">
        <v>99.5</v>
      </c>
      <c r="R138" s="1">
        <v>15.07</v>
      </c>
      <c r="S138" s="1">
        <v>59.9</v>
      </c>
      <c r="T138" s="1">
        <v>21.56</v>
      </c>
      <c r="U138" s="1">
        <v>2.2000000000000002</v>
      </c>
      <c r="V138" s="1">
        <v>74</v>
      </c>
    </row>
    <row r="139" spans="2:22">
      <c r="B139" s="1">
        <v>76</v>
      </c>
      <c r="C139" s="1">
        <v>2.4161000000000001</v>
      </c>
      <c r="D139" s="108">
        <f t="shared" si="8"/>
        <v>350.42631180000006</v>
      </c>
      <c r="E139" s="1">
        <v>957.3</v>
      </c>
      <c r="F139" s="1">
        <f t="shared" si="9"/>
        <v>137.5515818431912</v>
      </c>
      <c r="G139" s="1">
        <v>7.2700000000000004E-3</v>
      </c>
      <c r="H139" s="1">
        <v>314.94</v>
      </c>
      <c r="I139" s="1">
        <v>429.04</v>
      </c>
      <c r="J139" s="1">
        <v>1.3631</v>
      </c>
      <c r="K139" s="1">
        <v>1.6899</v>
      </c>
      <c r="L139" s="1">
        <v>1.9379999999999999</v>
      </c>
      <c r="M139" s="1">
        <v>1.8120000000000001</v>
      </c>
      <c r="N139" s="1">
        <v>1.766</v>
      </c>
      <c r="O139" s="1">
        <v>259</v>
      </c>
      <c r="P139" s="1">
        <v>121</v>
      </c>
      <c r="Q139" s="1">
        <v>96</v>
      </c>
      <c r="R139" s="1">
        <v>15.3</v>
      </c>
      <c r="S139" s="1">
        <v>59</v>
      </c>
      <c r="T139" s="1">
        <v>22.21</v>
      </c>
      <c r="U139" s="1">
        <v>1.99</v>
      </c>
      <c r="V139" s="1">
        <v>76</v>
      </c>
    </row>
    <row r="140" spans="2:22">
      <c r="B140" s="1">
        <v>78</v>
      </c>
      <c r="C140" s="1">
        <v>2.5228000000000002</v>
      </c>
      <c r="D140" s="108">
        <f t="shared" si="8"/>
        <v>365.90186640000007</v>
      </c>
      <c r="E140" s="1">
        <v>943.1</v>
      </c>
      <c r="F140" s="1">
        <f t="shared" si="9"/>
        <v>145.98540145985402</v>
      </c>
      <c r="G140" s="1">
        <v>6.8500000000000002E-3</v>
      </c>
      <c r="H140" s="1">
        <v>318.63</v>
      </c>
      <c r="I140" s="1">
        <v>428.98</v>
      </c>
      <c r="J140" s="1">
        <v>1.3733</v>
      </c>
      <c r="K140" s="1">
        <v>1.6876</v>
      </c>
      <c r="L140" s="1">
        <v>1.996</v>
      </c>
      <c r="M140" s="1">
        <v>1.9039999999999999</v>
      </c>
      <c r="N140" s="1">
        <v>1.8380000000000001</v>
      </c>
      <c r="O140" s="1">
        <v>248</v>
      </c>
      <c r="P140" s="1">
        <v>119.4</v>
      </c>
      <c r="Q140" s="1">
        <v>92.5</v>
      </c>
      <c r="R140" s="1">
        <v>15.56</v>
      </c>
      <c r="S140" s="1">
        <v>58.1</v>
      </c>
      <c r="T140" s="1">
        <v>22.92</v>
      </c>
      <c r="U140" s="1">
        <v>1.8</v>
      </c>
      <c r="V140" s="1">
        <v>78</v>
      </c>
    </row>
    <row r="141" spans="2:22">
      <c r="B141" s="1">
        <v>80</v>
      </c>
      <c r="C141" s="1">
        <v>2.6332</v>
      </c>
      <c r="D141" s="108">
        <f t="shared" si="8"/>
        <v>381.91406160000003</v>
      </c>
      <c r="E141" s="1">
        <v>928.2</v>
      </c>
      <c r="F141" s="1">
        <f t="shared" si="9"/>
        <v>155.03875968992247</v>
      </c>
      <c r="G141" s="1">
        <v>6.45E-3</v>
      </c>
      <c r="H141" s="1">
        <v>322.39</v>
      </c>
      <c r="I141" s="1">
        <v>428.81</v>
      </c>
      <c r="J141" s="1">
        <v>1.3835999999999999</v>
      </c>
      <c r="K141" s="1">
        <v>1.6850000000000001</v>
      </c>
      <c r="L141" s="1">
        <v>2.0649999999999999</v>
      </c>
      <c r="M141" s="1">
        <v>2.012</v>
      </c>
      <c r="N141" s="1">
        <v>1.9239999999999999</v>
      </c>
      <c r="O141" s="1">
        <v>237</v>
      </c>
      <c r="P141" s="1">
        <v>117.7</v>
      </c>
      <c r="Q141" s="1">
        <v>89</v>
      </c>
      <c r="R141" s="1">
        <v>15.84</v>
      </c>
      <c r="S141" s="1">
        <v>57.2</v>
      </c>
      <c r="T141" s="1">
        <v>23.72</v>
      </c>
      <c r="U141" s="1">
        <v>1.6</v>
      </c>
      <c r="V141" s="1">
        <v>80</v>
      </c>
    </row>
    <row r="142" spans="2:22">
      <c r="B142" s="1">
        <v>85</v>
      </c>
      <c r="C142" s="1">
        <v>2.9258000000000002</v>
      </c>
      <c r="D142" s="108">
        <f t="shared" si="8"/>
        <v>424.35218040000007</v>
      </c>
      <c r="E142" s="1">
        <v>887.2</v>
      </c>
      <c r="F142" s="1">
        <f t="shared" si="9"/>
        <v>181.81818181818184</v>
      </c>
      <c r="G142" s="1">
        <v>5.4999999999999997E-3</v>
      </c>
      <c r="H142" s="1">
        <v>332.22</v>
      </c>
      <c r="I142" s="1">
        <v>427.76</v>
      </c>
      <c r="J142" s="1">
        <v>1.4104000000000001</v>
      </c>
      <c r="K142" s="1">
        <v>1.6771</v>
      </c>
      <c r="L142" s="1">
        <v>2.306</v>
      </c>
      <c r="M142" s="1">
        <v>2.3969999999999998</v>
      </c>
      <c r="N142" s="1">
        <v>2.2320000000000002</v>
      </c>
      <c r="O142" s="1">
        <v>207</v>
      </c>
      <c r="P142" s="1">
        <v>113.1</v>
      </c>
      <c r="Q142" s="1">
        <v>80.2</v>
      </c>
      <c r="R142" s="1">
        <v>16.670000000000002</v>
      </c>
      <c r="S142" s="1">
        <v>54.9</v>
      </c>
      <c r="T142" s="1">
        <v>26.22</v>
      </c>
      <c r="U142" s="1">
        <v>1.1399999999999999</v>
      </c>
      <c r="V142" s="1">
        <v>85</v>
      </c>
    </row>
    <row r="143" spans="2:22">
      <c r="B143" s="1">
        <v>90</v>
      </c>
      <c r="C143" s="1">
        <v>3.2442000000000002</v>
      </c>
      <c r="D143" s="108">
        <f t="shared" si="8"/>
        <v>470.53227960000004</v>
      </c>
      <c r="E143" s="1">
        <v>837.8</v>
      </c>
      <c r="F143" s="1">
        <f t="shared" si="9"/>
        <v>216.91973969631235</v>
      </c>
      <c r="G143" s="1">
        <v>4.6100000000000004E-3</v>
      </c>
      <c r="H143" s="1">
        <v>342.93</v>
      </c>
      <c r="I143" s="1">
        <v>425.42</v>
      </c>
      <c r="J143" s="1">
        <v>1.4390000000000001</v>
      </c>
      <c r="K143" s="1">
        <v>1.6661999999999999</v>
      </c>
      <c r="L143" s="1">
        <v>2.7559999999999998</v>
      </c>
      <c r="M143" s="1">
        <v>3.121</v>
      </c>
      <c r="N143" s="1">
        <v>2.82</v>
      </c>
      <c r="O143" s="1">
        <v>176</v>
      </c>
      <c r="P143" s="1">
        <v>107.9</v>
      </c>
      <c r="Q143" s="1">
        <v>70.900000000000006</v>
      </c>
      <c r="R143" s="1">
        <v>17.809999999999999</v>
      </c>
      <c r="S143" s="1">
        <v>52.8</v>
      </c>
      <c r="T143" s="1">
        <v>29.91</v>
      </c>
      <c r="U143" s="1">
        <v>0.71</v>
      </c>
      <c r="V143" s="1">
        <v>90</v>
      </c>
    </row>
    <row r="144" spans="2:22">
      <c r="B144" s="1">
        <v>95</v>
      </c>
      <c r="C144" s="1">
        <v>3.5912000000000002</v>
      </c>
      <c r="D144" s="108">
        <f t="shared" si="8"/>
        <v>520.86046560000011</v>
      </c>
      <c r="E144" s="1">
        <v>772.7</v>
      </c>
      <c r="F144" s="1">
        <f t="shared" si="9"/>
        <v>267.37967914438502</v>
      </c>
      <c r="G144" s="1">
        <v>3.7399999999999998E-3</v>
      </c>
      <c r="H144" s="1">
        <v>355.25</v>
      </c>
      <c r="I144" s="1">
        <v>420.67</v>
      </c>
      <c r="J144" s="1">
        <v>1.4715</v>
      </c>
      <c r="K144" s="1">
        <v>1.6492</v>
      </c>
      <c r="L144" s="1">
        <v>3.9380000000000002</v>
      </c>
      <c r="M144" s="1">
        <v>5.0199999999999996</v>
      </c>
      <c r="N144" s="1">
        <v>4.3689999999999998</v>
      </c>
      <c r="O144" s="1">
        <v>141</v>
      </c>
      <c r="P144" s="1">
        <v>101.9</v>
      </c>
      <c r="Q144" s="1">
        <v>60.4</v>
      </c>
      <c r="R144" s="1">
        <v>19.61</v>
      </c>
      <c r="S144" s="1">
        <v>51.7</v>
      </c>
      <c r="T144" s="1">
        <v>36.4</v>
      </c>
      <c r="U144" s="1">
        <v>0.33</v>
      </c>
      <c r="V144" s="1">
        <v>95</v>
      </c>
    </row>
    <row r="145" spans="1:23">
      <c r="B145" s="1">
        <v>100</v>
      </c>
      <c r="C145" s="1">
        <v>3.9723999999999999</v>
      </c>
      <c r="D145" s="108">
        <f t="shared" si="8"/>
        <v>576.14895120000006</v>
      </c>
      <c r="E145" s="1">
        <v>651.20000000000005</v>
      </c>
      <c r="F145" s="1">
        <f t="shared" si="9"/>
        <v>373.13432835820896</v>
      </c>
      <c r="G145" s="1">
        <v>2.6800000000000001E-3</v>
      </c>
      <c r="H145" s="1">
        <v>373.3</v>
      </c>
      <c r="I145" s="1">
        <v>407.68</v>
      </c>
      <c r="J145" s="1">
        <v>1.5187999999999999</v>
      </c>
      <c r="K145" s="1">
        <v>1.6109</v>
      </c>
      <c r="L145" s="1">
        <v>17.59</v>
      </c>
      <c r="M145" s="1">
        <v>25.35</v>
      </c>
      <c r="N145" s="1">
        <v>20.81</v>
      </c>
      <c r="O145" s="1">
        <v>101</v>
      </c>
      <c r="P145" s="1">
        <v>94</v>
      </c>
      <c r="Q145" s="1">
        <v>45.1</v>
      </c>
      <c r="R145" s="1">
        <v>24.21</v>
      </c>
      <c r="S145" s="1">
        <v>59.9</v>
      </c>
      <c r="T145" s="1">
        <v>60.58</v>
      </c>
      <c r="U145" s="1">
        <v>0.04</v>
      </c>
      <c r="V145" s="1">
        <v>100</v>
      </c>
    </row>
    <row r="146" spans="1:23">
      <c r="B146" s="1" t="s">
        <v>341</v>
      </c>
      <c r="C146" s="1">
        <v>4.0593000000000004</v>
      </c>
      <c r="D146" s="108">
        <f t="shared" si="8"/>
        <v>588.75275340000007</v>
      </c>
      <c r="E146" s="1">
        <v>511.9</v>
      </c>
      <c r="F146" s="1">
        <f t="shared" si="9"/>
        <v>512.82051282051282</v>
      </c>
      <c r="G146" s="1">
        <v>1.9499999999999999E-3</v>
      </c>
      <c r="H146" s="1">
        <v>389.64</v>
      </c>
      <c r="I146" s="1">
        <v>389.64</v>
      </c>
      <c r="J146" s="1">
        <v>1.5621</v>
      </c>
      <c r="K146" s="1">
        <v>1.5621</v>
      </c>
      <c r="L146" s="1" t="s">
        <v>310</v>
      </c>
      <c r="M146" s="1" t="s">
        <v>310</v>
      </c>
      <c r="N146" s="1" t="s">
        <v>310</v>
      </c>
      <c r="O146" s="1">
        <v>0</v>
      </c>
      <c r="P146" s="1">
        <v>0</v>
      </c>
      <c r="Q146" s="1" t="s">
        <v>311</v>
      </c>
      <c r="R146" s="1" t="s">
        <v>311</v>
      </c>
      <c r="S146" s="1" t="s">
        <v>310</v>
      </c>
      <c r="T146" s="1" t="s">
        <v>310</v>
      </c>
      <c r="U146" s="1">
        <v>0</v>
      </c>
      <c r="V146" s="1">
        <v>101.06</v>
      </c>
    </row>
    <row r="147" spans="1:23">
      <c r="D147" s="108"/>
    </row>
    <row r="148" spans="1:23">
      <c r="D148" s="108"/>
    </row>
    <row r="149" spans="1:23">
      <c r="A149" t="s">
        <v>330</v>
      </c>
      <c r="D149" s="108"/>
    </row>
    <row r="150" spans="1:23">
      <c r="B150" s="1">
        <v>0.01</v>
      </c>
      <c r="C150" s="108">
        <f>W150*145.038</f>
        <v>1.4503800000000002</v>
      </c>
      <c r="D150" s="1" t="s">
        <v>342</v>
      </c>
      <c r="E150" s="1" t="s">
        <v>343</v>
      </c>
      <c r="F150" s="1">
        <v>1460.6</v>
      </c>
      <c r="G150" s="32">
        <f>1/H150</f>
        <v>0.47644457996645834</v>
      </c>
      <c r="H150" s="1">
        <v>2.0988799999999999</v>
      </c>
      <c r="I150" s="1">
        <v>76.56</v>
      </c>
      <c r="J150" s="1">
        <v>378.76</v>
      </c>
      <c r="K150" s="1">
        <v>0.45879999999999999</v>
      </c>
      <c r="L150" s="1">
        <v>2.0926999999999998</v>
      </c>
      <c r="M150" s="1">
        <v>1.3440000000000001</v>
      </c>
      <c r="N150" s="1">
        <v>0.66800000000000004</v>
      </c>
      <c r="O150" s="1">
        <v>1.2270000000000001</v>
      </c>
      <c r="P150" s="1">
        <v>1004</v>
      </c>
      <c r="Q150" s="1">
        <v>159.69999999999999</v>
      </c>
      <c r="R150" s="1">
        <v>669.9</v>
      </c>
      <c r="S150" s="1">
        <v>8.2899999999999991</v>
      </c>
      <c r="T150" s="1">
        <v>177.3</v>
      </c>
      <c r="U150" s="1">
        <v>7.44</v>
      </c>
      <c r="V150" s="1">
        <v>24.72</v>
      </c>
      <c r="W150" s="1">
        <v>0.01</v>
      </c>
    </row>
    <row r="151" spans="1:23">
      <c r="B151" s="1">
        <v>0.02</v>
      </c>
      <c r="C151" s="108">
        <f t="shared" ref="C151:C213" si="10">W151*145.038</f>
        <v>2.9007600000000004</v>
      </c>
      <c r="D151" s="1" t="s">
        <v>344</v>
      </c>
      <c r="E151" s="1" t="s">
        <v>345</v>
      </c>
      <c r="F151" s="1">
        <v>1432.9</v>
      </c>
      <c r="G151" s="32">
        <f t="shared" ref="G151:G213" si="11">1/H151</f>
        <v>0.9119178544396721</v>
      </c>
      <c r="H151" s="1">
        <v>1.09659</v>
      </c>
      <c r="I151" s="1">
        <v>89.26</v>
      </c>
      <c r="J151" s="1">
        <v>384.25</v>
      </c>
      <c r="K151" s="1">
        <v>0.52580000000000005</v>
      </c>
      <c r="L151" s="1">
        <v>2.0432000000000001</v>
      </c>
      <c r="M151" s="1">
        <v>1.345</v>
      </c>
      <c r="N151" s="1">
        <v>0.69599999999999995</v>
      </c>
      <c r="O151" s="1">
        <v>1.228</v>
      </c>
      <c r="P151" s="1">
        <v>958</v>
      </c>
      <c r="Q151" s="1">
        <v>162.80000000000001</v>
      </c>
      <c r="R151" s="1">
        <v>552.9</v>
      </c>
      <c r="S151" s="1">
        <v>8.7100000000000009</v>
      </c>
      <c r="T151" s="1">
        <v>170.8</v>
      </c>
      <c r="U151" s="1">
        <v>7.79</v>
      </c>
      <c r="V151" s="1">
        <v>22.91</v>
      </c>
      <c r="W151" s="1">
        <v>0.02</v>
      </c>
    </row>
    <row r="152" spans="1:23">
      <c r="B152" s="1">
        <v>0.04</v>
      </c>
      <c r="C152" s="108">
        <f t="shared" si="10"/>
        <v>5.8015200000000009</v>
      </c>
      <c r="D152" s="1" t="s">
        <v>346</v>
      </c>
      <c r="E152" s="1" t="s">
        <v>347</v>
      </c>
      <c r="F152" s="1">
        <v>1401.1</v>
      </c>
      <c r="G152" s="32">
        <f t="shared" si="11"/>
        <v>1.7449266258353837</v>
      </c>
      <c r="H152" s="1">
        <v>0.57308999999999999</v>
      </c>
      <c r="I152" s="1">
        <v>103.64</v>
      </c>
      <c r="J152" s="1">
        <v>390.29</v>
      </c>
      <c r="K152" s="1">
        <v>0.5978</v>
      </c>
      <c r="L152" s="1">
        <v>1.9956</v>
      </c>
      <c r="M152" s="1">
        <v>1.351</v>
      </c>
      <c r="N152" s="1">
        <v>0.73399999999999999</v>
      </c>
      <c r="O152" s="1">
        <v>1.2310000000000001</v>
      </c>
      <c r="P152" s="1">
        <v>906</v>
      </c>
      <c r="Q152" s="1">
        <v>165.8</v>
      </c>
      <c r="R152" s="1">
        <v>454.8</v>
      </c>
      <c r="S152" s="1">
        <v>9.17</v>
      </c>
      <c r="T152" s="1">
        <v>163.30000000000001</v>
      </c>
      <c r="U152" s="1">
        <v>8.2100000000000009</v>
      </c>
      <c r="V152" s="1">
        <v>20.9</v>
      </c>
      <c r="W152" s="1">
        <v>0.04</v>
      </c>
    </row>
    <row r="153" spans="1:23">
      <c r="B153" s="1">
        <v>0.06</v>
      </c>
      <c r="C153" s="108">
        <f t="shared" si="10"/>
        <v>8.70228</v>
      </c>
      <c r="D153" s="1" t="s">
        <v>348</v>
      </c>
      <c r="E153" s="1" t="s">
        <v>349</v>
      </c>
      <c r="F153" s="1">
        <v>1380</v>
      </c>
      <c r="G153" s="32">
        <f t="shared" si="11"/>
        <v>2.5514760288827087</v>
      </c>
      <c r="H153" s="1">
        <v>0.39193</v>
      </c>
      <c r="I153" s="1">
        <v>113</v>
      </c>
      <c r="J153" s="1">
        <v>394.1</v>
      </c>
      <c r="K153" s="1">
        <v>0.64259999999999995</v>
      </c>
      <c r="L153" s="1">
        <v>1.9686999999999999</v>
      </c>
      <c r="M153" s="1">
        <v>1.3580000000000001</v>
      </c>
      <c r="N153" s="1">
        <v>0.76200000000000001</v>
      </c>
      <c r="O153" s="1">
        <v>1.2350000000000001</v>
      </c>
      <c r="P153" s="1">
        <v>872</v>
      </c>
      <c r="Q153" s="1">
        <v>167.5</v>
      </c>
      <c r="R153" s="1">
        <v>404.6</v>
      </c>
      <c r="S153" s="1">
        <v>9.4700000000000006</v>
      </c>
      <c r="T153" s="1">
        <v>158.30000000000001</v>
      </c>
      <c r="U153" s="1">
        <v>8.5</v>
      </c>
      <c r="V153" s="1">
        <v>19.62</v>
      </c>
      <c r="W153" s="1">
        <v>0.06</v>
      </c>
    </row>
    <row r="154" spans="1:23">
      <c r="B154" s="1">
        <v>0.08</v>
      </c>
      <c r="C154" s="108">
        <f t="shared" si="10"/>
        <v>11.603040000000002</v>
      </c>
      <c r="D154" s="1" t="s">
        <v>350</v>
      </c>
      <c r="E154" s="1" t="s">
        <v>351</v>
      </c>
      <c r="F154" s="1">
        <v>1363.9</v>
      </c>
      <c r="G154" s="32">
        <f t="shared" si="11"/>
        <v>3.3424694164048399</v>
      </c>
      <c r="H154" s="1">
        <v>0.29918</v>
      </c>
      <c r="I154" s="1">
        <v>120.14</v>
      </c>
      <c r="J154" s="1">
        <v>396.92</v>
      </c>
      <c r="K154" s="1">
        <v>0.67579999999999996</v>
      </c>
      <c r="L154" s="1">
        <v>1.95</v>
      </c>
      <c r="M154" s="1">
        <v>1.3640000000000001</v>
      </c>
      <c r="N154" s="1">
        <v>0.78500000000000003</v>
      </c>
      <c r="O154" s="1">
        <v>1.2390000000000001</v>
      </c>
      <c r="P154" s="1">
        <v>847</v>
      </c>
      <c r="Q154" s="1">
        <v>168.7</v>
      </c>
      <c r="R154" s="1">
        <v>371.8</v>
      </c>
      <c r="S154" s="1">
        <v>9.6999999999999993</v>
      </c>
      <c r="T154" s="1">
        <v>154.6</v>
      </c>
      <c r="U154" s="1">
        <v>8.73</v>
      </c>
      <c r="V154" s="1">
        <v>18.66</v>
      </c>
      <c r="W154" s="1">
        <v>0.08</v>
      </c>
    </row>
    <row r="155" spans="1:23">
      <c r="B155" s="1">
        <v>0.1</v>
      </c>
      <c r="C155" s="108">
        <f t="shared" si="10"/>
        <v>14.503800000000002</v>
      </c>
      <c r="D155" s="1" t="s">
        <v>352</v>
      </c>
      <c r="E155" s="1" t="s">
        <v>353</v>
      </c>
      <c r="F155" s="1">
        <v>1350.5</v>
      </c>
      <c r="G155" s="32">
        <f t="shared" si="11"/>
        <v>4.1226912928759898</v>
      </c>
      <c r="H155" s="1">
        <v>0.24256</v>
      </c>
      <c r="I155" s="1">
        <v>125.99</v>
      </c>
      <c r="J155" s="1">
        <v>399.17</v>
      </c>
      <c r="K155" s="1">
        <v>0.70240000000000002</v>
      </c>
      <c r="L155" s="1">
        <v>1.9358</v>
      </c>
      <c r="M155" s="1">
        <v>1.369</v>
      </c>
      <c r="N155" s="1">
        <v>0.80500000000000005</v>
      </c>
      <c r="O155" s="1">
        <v>1.2430000000000001</v>
      </c>
      <c r="P155" s="1">
        <v>826</v>
      </c>
      <c r="Q155" s="1">
        <v>169.5</v>
      </c>
      <c r="R155" s="1">
        <v>347.8</v>
      </c>
      <c r="S155" s="1">
        <v>9.8800000000000008</v>
      </c>
      <c r="T155" s="1">
        <v>151.5</v>
      </c>
      <c r="U155" s="1">
        <v>8.93</v>
      </c>
      <c r="V155" s="1">
        <v>17.88</v>
      </c>
      <c r="W155" s="1">
        <v>0.1</v>
      </c>
    </row>
    <row r="156" spans="1:23">
      <c r="B156" s="1" t="s">
        <v>354</v>
      </c>
      <c r="C156" s="108">
        <f t="shared" si="10"/>
        <v>14.695250160000001</v>
      </c>
      <c r="D156" s="1" t="s">
        <v>355</v>
      </c>
      <c r="E156" s="1" t="s">
        <v>356</v>
      </c>
      <c r="F156" s="1">
        <v>1349.7</v>
      </c>
      <c r="G156" s="32">
        <f t="shared" si="11"/>
        <v>4.1741453437408689</v>
      </c>
      <c r="H156" s="1">
        <v>0.23957000000000001</v>
      </c>
      <c r="I156" s="1">
        <v>126.34</v>
      </c>
      <c r="J156" s="1">
        <v>399.31</v>
      </c>
      <c r="K156" s="1">
        <v>0.70399999999999996</v>
      </c>
      <c r="L156" s="1">
        <v>1.9350000000000001</v>
      </c>
      <c r="M156" s="1">
        <v>1.37</v>
      </c>
      <c r="N156" s="1">
        <v>0.80700000000000005</v>
      </c>
      <c r="O156" s="1">
        <v>1.244</v>
      </c>
      <c r="P156" s="1">
        <v>824</v>
      </c>
      <c r="Q156" s="1">
        <v>169.5</v>
      </c>
      <c r="R156" s="1">
        <v>346.4</v>
      </c>
      <c r="S156" s="1">
        <v>9.9</v>
      </c>
      <c r="T156" s="1">
        <v>151.30000000000001</v>
      </c>
      <c r="U156" s="1">
        <v>8.94</v>
      </c>
      <c r="V156" s="1">
        <v>17.84</v>
      </c>
      <c r="W156" s="1">
        <v>0.10131999999999999</v>
      </c>
    </row>
    <row r="157" spans="1:23">
      <c r="B157" s="1">
        <v>0.12</v>
      </c>
      <c r="C157" s="108">
        <f t="shared" si="10"/>
        <v>17.40456</v>
      </c>
      <c r="D157" s="1" t="s">
        <v>357</v>
      </c>
      <c r="E157" s="1" t="s">
        <v>358</v>
      </c>
      <c r="F157" s="1">
        <v>1339</v>
      </c>
      <c r="G157" s="32">
        <f t="shared" si="11"/>
        <v>4.8954814706026335</v>
      </c>
      <c r="H157" s="1">
        <v>0.20427000000000001</v>
      </c>
      <c r="I157" s="1">
        <v>130.99</v>
      </c>
      <c r="J157" s="1">
        <v>401.05</v>
      </c>
      <c r="K157" s="1">
        <v>0.72470000000000001</v>
      </c>
      <c r="L157" s="1">
        <v>1.9242999999999999</v>
      </c>
      <c r="M157" s="1">
        <v>1.375</v>
      </c>
      <c r="N157" s="1">
        <v>0.82299999999999995</v>
      </c>
      <c r="O157" s="1">
        <v>1.2470000000000001</v>
      </c>
      <c r="P157" s="1">
        <v>808</v>
      </c>
      <c r="Q157" s="1">
        <v>170.1</v>
      </c>
      <c r="R157" s="1">
        <v>329</v>
      </c>
      <c r="S157" s="1">
        <v>10.039999999999999</v>
      </c>
      <c r="T157" s="1">
        <v>148.9</v>
      </c>
      <c r="U157" s="1">
        <v>9.11</v>
      </c>
      <c r="V157" s="1">
        <v>17.23</v>
      </c>
      <c r="W157" s="1">
        <v>0.12</v>
      </c>
    </row>
    <row r="158" spans="1:23">
      <c r="B158" s="1">
        <v>0.14000000000000001</v>
      </c>
      <c r="C158" s="108">
        <f t="shared" si="10"/>
        <v>20.305320000000002</v>
      </c>
      <c r="D158" s="1" t="s">
        <v>359</v>
      </c>
      <c r="E158" s="1" t="s">
        <v>360</v>
      </c>
      <c r="F158" s="1">
        <v>1328.8</v>
      </c>
      <c r="G158" s="32">
        <f t="shared" si="11"/>
        <v>5.6621935337749845</v>
      </c>
      <c r="H158" s="1">
        <v>0.17660999999999999</v>
      </c>
      <c r="I158" s="1">
        <v>135.38999999999999</v>
      </c>
      <c r="J158" s="1">
        <v>402.67</v>
      </c>
      <c r="K158" s="1">
        <v>0.74409999999999998</v>
      </c>
      <c r="L158" s="1">
        <v>1.9147000000000001</v>
      </c>
      <c r="M158" s="1">
        <v>1.38</v>
      </c>
      <c r="N158" s="1">
        <v>0.83899999999999997</v>
      </c>
      <c r="O158" s="1">
        <v>1.2509999999999999</v>
      </c>
      <c r="P158" s="1">
        <v>792</v>
      </c>
      <c r="Q158" s="1">
        <v>170.6</v>
      </c>
      <c r="R158" s="1">
        <v>313.8</v>
      </c>
      <c r="S158" s="1">
        <v>10.18</v>
      </c>
      <c r="T158" s="1">
        <v>146.6</v>
      </c>
      <c r="U158" s="1">
        <v>9.26</v>
      </c>
      <c r="V158" s="1">
        <v>16.649999999999999</v>
      </c>
      <c r="W158" s="1">
        <v>0.14000000000000001</v>
      </c>
    </row>
    <row r="159" spans="1:23">
      <c r="B159" s="1">
        <v>0.16</v>
      </c>
      <c r="C159" s="108">
        <f t="shared" si="10"/>
        <v>23.206080000000004</v>
      </c>
      <c r="D159" s="1" t="s">
        <v>361</v>
      </c>
      <c r="E159" s="1" t="s">
        <v>362</v>
      </c>
      <c r="F159" s="1">
        <v>1319.6</v>
      </c>
      <c r="G159" s="32">
        <f t="shared" si="11"/>
        <v>6.4246707356247992</v>
      </c>
      <c r="H159" s="1">
        <v>0.15565000000000001</v>
      </c>
      <c r="I159" s="1">
        <v>139.34</v>
      </c>
      <c r="J159" s="1">
        <v>404.09</v>
      </c>
      <c r="K159" s="1">
        <v>0.76119999999999999</v>
      </c>
      <c r="L159" s="1">
        <v>1.9065000000000001</v>
      </c>
      <c r="M159" s="1">
        <v>1.385</v>
      </c>
      <c r="N159" s="1">
        <v>0.85399999999999998</v>
      </c>
      <c r="O159" s="1">
        <v>1.2549999999999999</v>
      </c>
      <c r="P159" s="1">
        <v>778</v>
      </c>
      <c r="Q159" s="1">
        <v>170.9</v>
      </c>
      <c r="R159" s="1">
        <v>300.89999999999998</v>
      </c>
      <c r="S159" s="1">
        <v>10.3</v>
      </c>
      <c r="T159" s="1">
        <v>144.6</v>
      </c>
      <c r="U159" s="1">
        <v>9.4</v>
      </c>
      <c r="V159" s="1">
        <v>16.149999999999999</v>
      </c>
      <c r="W159" s="1">
        <v>0.16</v>
      </c>
    </row>
    <row r="160" spans="1:23">
      <c r="B160" s="1">
        <v>0.18</v>
      </c>
      <c r="C160" s="108">
        <f t="shared" si="10"/>
        <v>26.106840000000002</v>
      </c>
      <c r="D160" s="1" t="s">
        <v>363</v>
      </c>
      <c r="E160" s="1" t="s">
        <v>364</v>
      </c>
      <c r="F160" s="1">
        <v>1311.2</v>
      </c>
      <c r="G160" s="32">
        <f t="shared" si="11"/>
        <v>7.1833919977013148</v>
      </c>
      <c r="H160" s="1">
        <v>0.13921</v>
      </c>
      <c r="I160" s="1">
        <v>142.93</v>
      </c>
      <c r="J160" s="1">
        <v>405.36</v>
      </c>
      <c r="K160" s="1">
        <v>0.77659999999999996</v>
      </c>
      <c r="L160" s="1">
        <v>1.8993</v>
      </c>
      <c r="M160" s="1">
        <v>1.39</v>
      </c>
      <c r="N160" s="1">
        <v>0.86799999999999999</v>
      </c>
      <c r="O160" s="1">
        <v>1.2589999999999999</v>
      </c>
      <c r="P160" s="1">
        <v>765</v>
      </c>
      <c r="Q160" s="1">
        <v>171.2</v>
      </c>
      <c r="R160" s="1">
        <v>289.89999999999998</v>
      </c>
      <c r="S160" s="1">
        <v>10.41</v>
      </c>
      <c r="T160" s="1">
        <v>142.80000000000001</v>
      </c>
      <c r="U160" s="1">
        <v>9.5299999999999994</v>
      </c>
      <c r="V160" s="1">
        <v>15.69</v>
      </c>
      <c r="W160" s="1">
        <v>0.18</v>
      </c>
    </row>
    <row r="161" spans="2:23">
      <c r="B161" s="1">
        <v>0.2</v>
      </c>
      <c r="C161" s="108">
        <f t="shared" si="10"/>
        <v>29.007600000000004</v>
      </c>
      <c r="D161" s="1" t="s">
        <v>365</v>
      </c>
      <c r="E161" s="1" t="s">
        <v>366</v>
      </c>
      <c r="F161" s="1">
        <v>1303.4000000000001</v>
      </c>
      <c r="G161" s="32">
        <f t="shared" si="11"/>
        <v>7.9396585946804281</v>
      </c>
      <c r="H161" s="1">
        <v>0.12595000000000001</v>
      </c>
      <c r="I161" s="1">
        <v>146.22999999999999</v>
      </c>
      <c r="J161" s="1">
        <v>406.5</v>
      </c>
      <c r="K161" s="1">
        <v>0.79049999999999998</v>
      </c>
      <c r="L161" s="1">
        <v>1.8928</v>
      </c>
      <c r="M161" s="1">
        <v>1.395</v>
      </c>
      <c r="N161" s="1">
        <v>0.88100000000000001</v>
      </c>
      <c r="O161" s="1">
        <v>1.2629999999999999</v>
      </c>
      <c r="P161" s="1">
        <v>753</v>
      </c>
      <c r="Q161" s="1">
        <v>171.5</v>
      </c>
      <c r="R161" s="1">
        <v>280.3</v>
      </c>
      <c r="S161" s="1">
        <v>10.51</v>
      </c>
      <c r="T161" s="1">
        <v>141.1</v>
      </c>
      <c r="U161" s="1">
        <v>9.66</v>
      </c>
      <c r="V161" s="1">
        <v>15.27</v>
      </c>
      <c r="W161" s="1">
        <v>0.2</v>
      </c>
    </row>
    <row r="162" spans="2:23">
      <c r="B162" s="1">
        <v>0.22</v>
      </c>
      <c r="C162" s="108">
        <f t="shared" si="10"/>
        <v>31.908360000000002</v>
      </c>
      <c r="D162" s="1" t="s">
        <v>367</v>
      </c>
      <c r="E162" s="1" t="s">
        <v>368</v>
      </c>
      <c r="F162" s="1">
        <v>1296.2</v>
      </c>
      <c r="G162" s="32">
        <f t="shared" si="11"/>
        <v>8.6933843345214292</v>
      </c>
      <c r="H162" s="1">
        <v>0.11502999999999999</v>
      </c>
      <c r="I162" s="1">
        <v>149.29</v>
      </c>
      <c r="J162" s="1">
        <v>407.53</v>
      </c>
      <c r="K162" s="1">
        <v>0.8034</v>
      </c>
      <c r="L162" s="1">
        <v>1.8871</v>
      </c>
      <c r="M162" s="1">
        <v>1.399</v>
      </c>
      <c r="N162" s="1">
        <v>0.89300000000000002</v>
      </c>
      <c r="O162" s="1">
        <v>1.266</v>
      </c>
      <c r="P162" s="1">
        <v>743</v>
      </c>
      <c r="Q162" s="1">
        <v>171.6</v>
      </c>
      <c r="R162" s="1">
        <v>271.8</v>
      </c>
      <c r="S162" s="1">
        <v>10.61</v>
      </c>
      <c r="T162" s="1">
        <v>139.5</v>
      </c>
      <c r="U162" s="1">
        <v>9.77</v>
      </c>
      <c r="V162" s="1">
        <v>14.89</v>
      </c>
      <c r="W162" s="1">
        <v>0.22</v>
      </c>
    </row>
    <row r="163" spans="2:23">
      <c r="B163" s="1">
        <v>0.24</v>
      </c>
      <c r="C163" s="108">
        <f t="shared" si="10"/>
        <v>34.80912</v>
      </c>
      <c r="D163" s="1" t="s">
        <v>369</v>
      </c>
      <c r="E163" s="1" t="s">
        <v>370</v>
      </c>
      <c r="F163" s="1">
        <v>1289.4000000000001</v>
      </c>
      <c r="G163" s="32">
        <f t="shared" si="11"/>
        <v>9.4455464248606784</v>
      </c>
      <c r="H163" s="1">
        <v>0.10587000000000001</v>
      </c>
      <c r="I163" s="1">
        <v>152.15</v>
      </c>
      <c r="J163" s="1">
        <v>408.49</v>
      </c>
      <c r="K163" s="1">
        <v>0.81530000000000002</v>
      </c>
      <c r="L163" s="1">
        <v>1.8817999999999999</v>
      </c>
      <c r="M163" s="1">
        <v>1.4039999999999999</v>
      </c>
      <c r="N163" s="1">
        <v>0.90400000000000003</v>
      </c>
      <c r="O163" s="1">
        <v>1.27</v>
      </c>
      <c r="P163" s="1">
        <v>732</v>
      </c>
      <c r="Q163" s="1">
        <v>171.8</v>
      </c>
      <c r="R163" s="1">
        <v>264.2</v>
      </c>
      <c r="S163" s="1">
        <v>10.7</v>
      </c>
      <c r="T163" s="1">
        <v>138.1</v>
      </c>
      <c r="U163" s="1">
        <v>9.8800000000000008</v>
      </c>
      <c r="V163" s="1">
        <v>14.54</v>
      </c>
      <c r="W163" s="1">
        <v>0.24</v>
      </c>
    </row>
    <row r="164" spans="2:23">
      <c r="B164" s="1">
        <v>0.26</v>
      </c>
      <c r="C164" s="108">
        <f t="shared" si="10"/>
        <v>37.709880000000005</v>
      </c>
      <c r="D164" s="1" t="s">
        <v>371</v>
      </c>
      <c r="E164" s="1" t="s">
        <v>372</v>
      </c>
      <c r="F164" s="1">
        <v>1283</v>
      </c>
      <c r="G164" s="32">
        <f t="shared" si="11"/>
        <v>10.196798205363516</v>
      </c>
      <c r="H164" s="1">
        <v>9.8070000000000004E-2</v>
      </c>
      <c r="I164" s="1">
        <v>154.84</v>
      </c>
      <c r="J164" s="1">
        <v>409.36</v>
      </c>
      <c r="K164" s="1">
        <v>0.82640000000000002</v>
      </c>
      <c r="L164" s="1">
        <v>1.877</v>
      </c>
      <c r="M164" s="1">
        <v>1.4079999999999999</v>
      </c>
      <c r="N164" s="1">
        <v>0.91600000000000004</v>
      </c>
      <c r="O164" s="1">
        <v>1.274</v>
      </c>
      <c r="P164" s="1">
        <v>723</v>
      </c>
      <c r="Q164" s="1">
        <v>171.9</v>
      </c>
      <c r="R164" s="1">
        <v>257.2</v>
      </c>
      <c r="S164" s="1">
        <v>10.78</v>
      </c>
      <c r="T164" s="1">
        <v>136.69999999999999</v>
      </c>
      <c r="U164" s="1">
        <v>9.98</v>
      </c>
      <c r="V164" s="1">
        <v>14.21</v>
      </c>
      <c r="W164" s="1">
        <v>0.26</v>
      </c>
    </row>
    <row r="165" spans="2:23">
      <c r="B165" s="1">
        <v>0.28000000000000003</v>
      </c>
      <c r="C165" s="108">
        <f t="shared" si="10"/>
        <v>40.610640000000004</v>
      </c>
      <c r="D165" s="1" t="s">
        <v>373</v>
      </c>
      <c r="E165" s="1" t="s">
        <v>374</v>
      </c>
      <c r="F165" s="1">
        <v>1276.9000000000001</v>
      </c>
      <c r="G165" s="32">
        <f t="shared" si="11"/>
        <v>10.946907498631637</v>
      </c>
      <c r="H165" s="1">
        <v>9.1350000000000001E-2</v>
      </c>
      <c r="I165" s="1">
        <v>157.38</v>
      </c>
      <c r="J165" s="1">
        <v>410.18</v>
      </c>
      <c r="K165" s="1">
        <v>0.83679999999999999</v>
      </c>
      <c r="L165" s="1">
        <v>1.8726</v>
      </c>
      <c r="M165" s="1">
        <v>1.413</v>
      </c>
      <c r="N165" s="1">
        <v>0.92600000000000005</v>
      </c>
      <c r="O165" s="1">
        <v>1.2769999999999999</v>
      </c>
      <c r="P165" s="1">
        <v>714</v>
      </c>
      <c r="Q165" s="1">
        <v>172</v>
      </c>
      <c r="R165" s="1">
        <v>251</v>
      </c>
      <c r="S165" s="1">
        <v>10.86</v>
      </c>
      <c r="T165" s="1">
        <v>135.5</v>
      </c>
      <c r="U165" s="1">
        <v>10.08</v>
      </c>
      <c r="V165" s="1">
        <v>13.9</v>
      </c>
      <c r="W165" s="1">
        <v>0.28000000000000003</v>
      </c>
    </row>
    <row r="166" spans="2:23">
      <c r="B166" s="1">
        <v>0.3</v>
      </c>
      <c r="C166" s="108">
        <f t="shared" si="10"/>
        <v>43.511400000000002</v>
      </c>
      <c r="D166" s="1" t="s">
        <v>375</v>
      </c>
      <c r="E166" s="1" t="s">
        <v>376</v>
      </c>
      <c r="F166" s="1">
        <v>1271.0999999999999</v>
      </c>
      <c r="G166" s="32">
        <f t="shared" si="11"/>
        <v>11.695906432748536</v>
      </c>
      <c r="H166" s="1">
        <v>8.5500000000000007E-2</v>
      </c>
      <c r="I166" s="1">
        <v>159.80000000000001</v>
      </c>
      <c r="J166" s="1">
        <v>410.94</v>
      </c>
      <c r="K166" s="1">
        <v>0.84660000000000002</v>
      </c>
      <c r="L166" s="1">
        <v>1.8685</v>
      </c>
      <c r="M166" s="1">
        <v>1.417</v>
      </c>
      <c r="N166" s="1">
        <v>0.93600000000000005</v>
      </c>
      <c r="O166" s="1">
        <v>1.2809999999999999</v>
      </c>
      <c r="P166" s="1">
        <v>705</v>
      </c>
      <c r="Q166" s="1">
        <v>172</v>
      </c>
      <c r="R166" s="1">
        <v>245.2</v>
      </c>
      <c r="S166" s="1">
        <v>10.93</v>
      </c>
      <c r="T166" s="1">
        <v>134.30000000000001</v>
      </c>
      <c r="U166" s="1">
        <v>10.18</v>
      </c>
      <c r="V166" s="1">
        <v>13.6</v>
      </c>
      <c r="W166" s="1">
        <v>0.3</v>
      </c>
    </row>
    <row r="167" spans="2:23">
      <c r="B167" s="1">
        <v>0.32</v>
      </c>
      <c r="C167" s="108">
        <f t="shared" si="10"/>
        <v>46.412160000000007</v>
      </c>
      <c r="D167" s="1" t="s">
        <v>377</v>
      </c>
      <c r="E167" s="1" t="s">
        <v>378</v>
      </c>
      <c r="F167" s="1">
        <v>1265.5</v>
      </c>
      <c r="G167" s="32">
        <f t="shared" si="11"/>
        <v>12.445550715619165</v>
      </c>
      <c r="H167" s="1">
        <v>8.0350000000000005E-2</v>
      </c>
      <c r="I167" s="1">
        <v>162.1</v>
      </c>
      <c r="J167" s="1">
        <v>411.65</v>
      </c>
      <c r="K167" s="1">
        <v>0.85580000000000001</v>
      </c>
      <c r="L167" s="1">
        <v>1.8647</v>
      </c>
      <c r="M167" s="1">
        <v>1.421</v>
      </c>
      <c r="N167" s="1">
        <v>0.94599999999999995</v>
      </c>
      <c r="O167" s="1">
        <v>1.2849999999999999</v>
      </c>
      <c r="P167" s="1">
        <v>697</v>
      </c>
      <c r="Q167" s="1">
        <v>172</v>
      </c>
      <c r="R167" s="1">
        <v>239.8</v>
      </c>
      <c r="S167" s="1">
        <v>11</v>
      </c>
      <c r="T167" s="1">
        <v>133.1</v>
      </c>
      <c r="U167" s="1">
        <v>10.27</v>
      </c>
      <c r="V167" s="1">
        <v>13.33</v>
      </c>
      <c r="W167" s="1">
        <v>0.32</v>
      </c>
    </row>
    <row r="168" spans="2:23">
      <c r="B168" s="1">
        <v>0.34</v>
      </c>
      <c r="C168" s="108">
        <f t="shared" si="10"/>
        <v>49.312920000000005</v>
      </c>
      <c r="D168" s="1" t="s">
        <v>379</v>
      </c>
      <c r="E168" s="1" t="s">
        <v>380</v>
      </c>
      <c r="F168" s="1">
        <v>1260.2</v>
      </c>
      <c r="G168" s="32">
        <f t="shared" si="11"/>
        <v>13.194352816994327</v>
      </c>
      <c r="H168" s="1">
        <v>7.5789999999999996E-2</v>
      </c>
      <c r="I168" s="1">
        <v>164.29</v>
      </c>
      <c r="J168" s="1">
        <v>412.32</v>
      </c>
      <c r="K168" s="1">
        <v>0.86460000000000004</v>
      </c>
      <c r="L168" s="1">
        <v>1.8611</v>
      </c>
      <c r="M168" s="1">
        <v>1.4259999999999999</v>
      </c>
      <c r="N168" s="1">
        <v>0.95599999999999996</v>
      </c>
      <c r="O168" s="1">
        <v>1.288</v>
      </c>
      <c r="P168" s="1">
        <v>689</v>
      </c>
      <c r="Q168" s="1">
        <v>172.1</v>
      </c>
      <c r="R168" s="1">
        <v>234.9</v>
      </c>
      <c r="S168" s="1">
        <v>11.07</v>
      </c>
      <c r="T168" s="1">
        <v>132.1</v>
      </c>
      <c r="U168" s="1">
        <v>10.36</v>
      </c>
      <c r="V168" s="1">
        <v>13.06</v>
      </c>
      <c r="W168" s="1">
        <v>0.34</v>
      </c>
    </row>
    <row r="169" spans="2:23">
      <c r="B169" s="1">
        <v>0.36</v>
      </c>
      <c r="C169" s="108">
        <f t="shared" si="10"/>
        <v>52.213680000000004</v>
      </c>
      <c r="D169" s="1" t="s">
        <v>381</v>
      </c>
      <c r="E169" s="1" t="s">
        <v>382</v>
      </c>
      <c r="F169" s="1">
        <v>1255</v>
      </c>
      <c r="G169" s="32">
        <f t="shared" si="11"/>
        <v>13.943112102621305</v>
      </c>
      <c r="H169" s="1">
        <v>7.1720000000000006E-2</v>
      </c>
      <c r="I169" s="1">
        <v>166.4</v>
      </c>
      <c r="J169" s="1">
        <v>412.95</v>
      </c>
      <c r="K169" s="1">
        <v>0.87029999999999996</v>
      </c>
      <c r="L169" s="1">
        <v>1.8576999999999999</v>
      </c>
      <c r="M169" s="1">
        <v>1.43</v>
      </c>
      <c r="N169" s="1">
        <v>0.96499999999999997</v>
      </c>
      <c r="O169" s="1">
        <v>1.292</v>
      </c>
      <c r="P169" s="1">
        <v>682</v>
      </c>
      <c r="Q169" s="1">
        <v>172.1</v>
      </c>
      <c r="R169" s="1">
        <v>230.3</v>
      </c>
      <c r="S169" s="1">
        <v>11.13</v>
      </c>
      <c r="T169" s="1">
        <v>131</v>
      </c>
      <c r="U169" s="1">
        <v>10.46</v>
      </c>
      <c r="V169" s="1">
        <v>12.81</v>
      </c>
      <c r="W169" s="1">
        <v>0.36</v>
      </c>
    </row>
    <row r="170" spans="2:23">
      <c r="B170" s="1">
        <v>0.38</v>
      </c>
      <c r="C170" s="108">
        <f t="shared" si="10"/>
        <v>55.114440000000002</v>
      </c>
      <c r="D170" s="1" t="s">
        <v>383</v>
      </c>
      <c r="E170" s="1" t="s">
        <v>384</v>
      </c>
      <c r="F170" s="1">
        <v>1250.0999999999999</v>
      </c>
      <c r="G170" s="32">
        <f t="shared" si="11"/>
        <v>14.692918013517486</v>
      </c>
      <c r="H170" s="1">
        <v>6.8059999999999996E-2</v>
      </c>
      <c r="I170" s="1">
        <v>168.43</v>
      </c>
      <c r="J170" s="1">
        <v>413.54</v>
      </c>
      <c r="K170" s="1">
        <v>0.88100000000000001</v>
      </c>
      <c r="L170" s="1">
        <v>1.8545</v>
      </c>
      <c r="M170" s="1">
        <v>1.4339999999999999</v>
      </c>
      <c r="N170" s="1">
        <v>0.97499999999999998</v>
      </c>
      <c r="O170" s="1">
        <v>1.2949999999999999</v>
      </c>
      <c r="P170" s="1">
        <v>675</v>
      </c>
      <c r="Q170" s="1">
        <v>172</v>
      </c>
      <c r="R170" s="1">
        <v>226</v>
      </c>
      <c r="S170" s="1">
        <v>11.19</v>
      </c>
      <c r="T170" s="1">
        <v>130.1</v>
      </c>
      <c r="U170" s="1">
        <v>10.55</v>
      </c>
      <c r="V170" s="1">
        <v>12.57</v>
      </c>
      <c r="W170" s="1">
        <v>0.38</v>
      </c>
    </row>
    <row r="171" spans="2:23">
      <c r="B171" s="1">
        <v>0.4</v>
      </c>
      <c r="C171" s="108">
        <f t="shared" si="10"/>
        <v>58.015200000000007</v>
      </c>
      <c r="D171" s="1" t="s">
        <v>385</v>
      </c>
      <c r="E171" s="1" t="s">
        <v>386</v>
      </c>
      <c r="F171" s="1">
        <v>1245.3</v>
      </c>
      <c r="G171" s="32">
        <f t="shared" si="11"/>
        <v>15.441630636195182</v>
      </c>
      <c r="H171" s="1">
        <v>6.4759999999999998E-2</v>
      </c>
      <c r="I171" s="1">
        <v>170.38</v>
      </c>
      <c r="J171" s="1">
        <v>414.1</v>
      </c>
      <c r="K171" s="1">
        <v>0.88870000000000005</v>
      </c>
      <c r="L171" s="1">
        <v>1.8513999999999999</v>
      </c>
      <c r="M171" s="1">
        <v>1.4379999999999999</v>
      </c>
      <c r="N171" s="1">
        <v>0.98299999999999998</v>
      </c>
      <c r="O171" s="1">
        <v>1.2989999999999999</v>
      </c>
      <c r="P171" s="1">
        <v>668</v>
      </c>
      <c r="Q171" s="1">
        <v>172</v>
      </c>
      <c r="R171" s="1">
        <v>221.9</v>
      </c>
      <c r="S171" s="1">
        <v>11.25</v>
      </c>
      <c r="T171" s="1">
        <v>129.1</v>
      </c>
      <c r="U171" s="1">
        <v>10.64</v>
      </c>
      <c r="V171" s="1">
        <v>12.35</v>
      </c>
      <c r="W171" s="1">
        <v>0.4</v>
      </c>
    </row>
    <row r="172" spans="2:23">
      <c r="B172" s="1">
        <v>0.42</v>
      </c>
      <c r="C172" s="108">
        <f t="shared" si="10"/>
        <v>60.915960000000005</v>
      </c>
      <c r="D172" s="1" t="s">
        <v>387</v>
      </c>
      <c r="E172" s="1" t="s">
        <v>388</v>
      </c>
      <c r="F172" s="1">
        <v>1240.5999999999999</v>
      </c>
      <c r="G172" s="32">
        <f t="shared" si="11"/>
        <v>16.191709844559586</v>
      </c>
      <c r="H172" s="1">
        <v>6.1760000000000002E-2</v>
      </c>
      <c r="I172" s="1">
        <v>172.26</v>
      </c>
      <c r="J172" s="1">
        <v>414.64</v>
      </c>
      <c r="K172" s="1">
        <v>0.89600000000000002</v>
      </c>
      <c r="L172" s="1">
        <v>1.8486</v>
      </c>
      <c r="M172" s="1">
        <v>1.4430000000000001</v>
      </c>
      <c r="N172" s="1">
        <v>0.99199999999999999</v>
      </c>
      <c r="O172" s="1">
        <v>1.3029999999999999</v>
      </c>
      <c r="P172" s="1">
        <v>661</v>
      </c>
      <c r="Q172" s="1">
        <v>172</v>
      </c>
      <c r="R172" s="1">
        <v>218.1</v>
      </c>
      <c r="S172" s="1">
        <v>11.31</v>
      </c>
      <c r="T172" s="1">
        <v>128.19999999999999</v>
      </c>
      <c r="U172" s="1">
        <v>10.73</v>
      </c>
      <c r="V172" s="1">
        <v>12.13</v>
      </c>
      <c r="W172" s="1">
        <v>0.42</v>
      </c>
    </row>
    <row r="173" spans="2:23">
      <c r="B173" s="1">
        <v>0.44</v>
      </c>
      <c r="C173" s="108">
        <f t="shared" si="10"/>
        <v>63.816720000000004</v>
      </c>
      <c r="D173" s="1" t="s">
        <v>389</v>
      </c>
      <c r="E173" s="1" t="s">
        <v>390</v>
      </c>
      <c r="F173" s="1">
        <v>1236.0999999999999</v>
      </c>
      <c r="G173" s="32">
        <f t="shared" si="11"/>
        <v>16.943409013893593</v>
      </c>
      <c r="H173" s="1">
        <v>5.9020000000000003E-2</v>
      </c>
      <c r="I173" s="1">
        <v>174.08</v>
      </c>
      <c r="J173" s="1">
        <v>415.14</v>
      </c>
      <c r="K173" s="1">
        <v>0.90310000000000001</v>
      </c>
      <c r="L173" s="1">
        <v>1.8458000000000001</v>
      </c>
      <c r="M173" s="1">
        <v>1.4470000000000001</v>
      </c>
      <c r="N173" s="1">
        <v>1.0009999999999999</v>
      </c>
      <c r="O173" s="1">
        <v>1.306</v>
      </c>
      <c r="P173" s="1">
        <v>655</v>
      </c>
      <c r="Q173" s="1">
        <v>171.9</v>
      </c>
      <c r="R173" s="1">
        <v>214.5</v>
      </c>
      <c r="S173" s="1">
        <v>11.36</v>
      </c>
      <c r="T173" s="1">
        <v>127.3</v>
      </c>
      <c r="U173" s="1">
        <v>10.82</v>
      </c>
      <c r="V173" s="1">
        <v>11.92</v>
      </c>
      <c r="W173" s="1">
        <v>0.44</v>
      </c>
    </row>
    <row r="174" spans="2:23">
      <c r="B174" s="1">
        <v>0.46</v>
      </c>
      <c r="C174" s="108">
        <f t="shared" si="10"/>
        <v>66.717480000000009</v>
      </c>
      <c r="D174" s="1" t="s">
        <v>391</v>
      </c>
      <c r="E174" s="1" t="s">
        <v>392</v>
      </c>
      <c r="F174" s="1">
        <v>1231.8</v>
      </c>
      <c r="G174" s="32">
        <f t="shared" si="11"/>
        <v>17.692852087756545</v>
      </c>
      <c r="H174" s="1">
        <v>5.6520000000000001E-2</v>
      </c>
      <c r="I174" s="1">
        <v>175.84</v>
      </c>
      <c r="J174" s="1">
        <v>415.63</v>
      </c>
      <c r="K174" s="1">
        <v>0.90990000000000004</v>
      </c>
      <c r="L174" s="1">
        <v>1.8431999999999999</v>
      </c>
      <c r="M174" s="1">
        <v>1.4510000000000001</v>
      </c>
      <c r="N174" s="1">
        <v>1.0089999999999999</v>
      </c>
      <c r="O174" s="1">
        <v>1.31</v>
      </c>
      <c r="P174" s="1">
        <v>649</v>
      </c>
      <c r="Q174" s="1">
        <v>171.8</v>
      </c>
      <c r="R174" s="1">
        <v>211.1</v>
      </c>
      <c r="S174" s="1">
        <v>11.42</v>
      </c>
      <c r="T174" s="1">
        <v>126.5</v>
      </c>
      <c r="U174" s="1">
        <v>10.91</v>
      </c>
      <c r="V174" s="1">
        <v>11.71</v>
      </c>
      <c r="W174" s="1">
        <v>0.46</v>
      </c>
    </row>
    <row r="175" spans="2:23">
      <c r="B175" s="1">
        <v>0.48</v>
      </c>
      <c r="C175" s="108">
        <f t="shared" si="10"/>
        <v>69.61824</v>
      </c>
      <c r="D175" s="1" t="s">
        <v>393</v>
      </c>
      <c r="E175" s="1" t="s">
        <v>394</v>
      </c>
      <c r="F175" s="1">
        <v>1227.5</v>
      </c>
      <c r="G175" s="32">
        <f t="shared" si="11"/>
        <v>18.446781036709094</v>
      </c>
      <c r="H175" s="1">
        <v>5.4210000000000001E-2</v>
      </c>
      <c r="I175" s="1">
        <v>177.55</v>
      </c>
      <c r="J175" s="1">
        <v>416.09</v>
      </c>
      <c r="K175" s="1">
        <v>0.91649999999999998</v>
      </c>
      <c r="L175" s="1">
        <v>1.8407</v>
      </c>
      <c r="M175" s="1">
        <v>1.4550000000000001</v>
      </c>
      <c r="N175" s="1">
        <v>1.0169999999999999</v>
      </c>
      <c r="O175" s="1">
        <v>1.3129999999999999</v>
      </c>
      <c r="P175" s="1">
        <v>643</v>
      </c>
      <c r="Q175" s="1">
        <v>171.8</v>
      </c>
      <c r="R175" s="1">
        <v>207.8</v>
      </c>
      <c r="S175" s="1">
        <v>11.47</v>
      </c>
      <c r="T175" s="1">
        <v>125.7</v>
      </c>
      <c r="U175" s="1">
        <v>10.99</v>
      </c>
      <c r="V175" s="1">
        <v>11.52</v>
      </c>
      <c r="W175" s="1">
        <v>0.48</v>
      </c>
    </row>
    <row r="176" spans="2:23">
      <c r="B176" s="1">
        <v>0.5</v>
      </c>
      <c r="C176" s="108">
        <f t="shared" si="10"/>
        <v>72.519000000000005</v>
      </c>
      <c r="D176" s="1" t="s">
        <v>395</v>
      </c>
      <c r="E176" s="1" t="s">
        <v>396</v>
      </c>
      <c r="F176" s="1">
        <v>1223.3</v>
      </c>
      <c r="G176" s="32">
        <f t="shared" si="11"/>
        <v>19.197542714532542</v>
      </c>
      <c r="H176" s="1">
        <v>5.2089999999999997E-2</v>
      </c>
      <c r="I176" s="1">
        <v>179.21</v>
      </c>
      <c r="J176" s="1">
        <v>416.53</v>
      </c>
      <c r="K176" s="1">
        <v>0.92279999999999995</v>
      </c>
      <c r="L176" s="1">
        <v>1.8383</v>
      </c>
      <c r="M176" s="1">
        <v>1.4590000000000001</v>
      </c>
      <c r="N176" s="1">
        <v>1.0249999999999999</v>
      </c>
      <c r="O176" s="1">
        <v>1.3169999999999999</v>
      </c>
      <c r="P176" s="1">
        <v>637</v>
      </c>
      <c r="Q176" s="1">
        <v>171.7</v>
      </c>
      <c r="R176" s="1">
        <v>204.7</v>
      </c>
      <c r="S176" s="1">
        <v>11.52</v>
      </c>
      <c r="T176" s="1">
        <v>124.9</v>
      </c>
      <c r="U176" s="1">
        <v>11.08</v>
      </c>
      <c r="V176" s="1">
        <v>11.33</v>
      </c>
      <c r="W176" s="1">
        <v>0.5</v>
      </c>
    </row>
    <row r="177" spans="2:23">
      <c r="B177" s="1">
        <v>0.55000000000000004</v>
      </c>
      <c r="C177" s="108">
        <f t="shared" si="10"/>
        <v>79.770900000000012</v>
      </c>
      <c r="D177" s="1" t="s">
        <v>397</v>
      </c>
      <c r="E177" s="1" t="s">
        <v>398</v>
      </c>
      <c r="F177" s="1">
        <v>1213.4000000000001</v>
      </c>
      <c r="G177" s="32">
        <f t="shared" si="11"/>
        <v>21.083702298123551</v>
      </c>
      <c r="H177" s="1">
        <v>4.743E-2</v>
      </c>
      <c r="I177" s="1">
        <v>183.17</v>
      </c>
      <c r="J177" s="1">
        <v>417.54</v>
      </c>
      <c r="K177" s="1">
        <v>0.93789999999999996</v>
      </c>
      <c r="L177" s="1">
        <v>1.8326</v>
      </c>
      <c r="M177" s="1">
        <v>1.4690000000000001</v>
      </c>
      <c r="N177" s="1">
        <v>1.0449999999999999</v>
      </c>
      <c r="O177" s="1">
        <v>1.3260000000000001</v>
      </c>
      <c r="P177" s="1">
        <v>623</v>
      </c>
      <c r="Q177" s="1">
        <v>171.4</v>
      </c>
      <c r="R177" s="1">
        <v>197.6</v>
      </c>
      <c r="S177" s="1">
        <v>11.64</v>
      </c>
      <c r="T177" s="1">
        <v>123.1</v>
      </c>
      <c r="U177" s="1">
        <v>11.28</v>
      </c>
      <c r="V177" s="1">
        <v>10.89</v>
      </c>
      <c r="W177" s="1">
        <v>0.55000000000000004</v>
      </c>
    </row>
    <row r="178" spans="2:23">
      <c r="B178" s="1">
        <v>0.6</v>
      </c>
      <c r="C178" s="108">
        <f t="shared" si="10"/>
        <v>87.022800000000004</v>
      </c>
      <c r="D178" s="1" t="s">
        <v>399</v>
      </c>
      <c r="E178" s="1" t="s">
        <v>400</v>
      </c>
      <c r="F178" s="1">
        <v>1203.9000000000001</v>
      </c>
      <c r="G178" s="32">
        <f t="shared" si="11"/>
        <v>22.977941176470587</v>
      </c>
      <c r="H178" s="1">
        <v>4.3520000000000003E-2</v>
      </c>
      <c r="I178" s="1">
        <v>186.89</v>
      </c>
      <c r="J178" s="1">
        <v>418.46</v>
      </c>
      <c r="K178" s="1">
        <v>0.95179999999999998</v>
      </c>
      <c r="L178" s="1">
        <v>1.8274999999999999</v>
      </c>
      <c r="M178" s="1">
        <v>1.4790000000000001</v>
      </c>
      <c r="N178" s="1">
        <v>1.0640000000000001</v>
      </c>
      <c r="O178" s="1">
        <v>1.335</v>
      </c>
      <c r="P178" s="1">
        <v>610</v>
      </c>
      <c r="Q178" s="1">
        <v>171.2</v>
      </c>
      <c r="R178" s="1">
        <v>191.2</v>
      </c>
      <c r="S178" s="1">
        <v>11.75</v>
      </c>
      <c r="T178" s="1">
        <v>121.4</v>
      </c>
      <c r="U178" s="1">
        <v>11.48</v>
      </c>
      <c r="V178" s="1">
        <v>10.47</v>
      </c>
      <c r="W178" s="1">
        <v>0.6</v>
      </c>
    </row>
    <row r="179" spans="2:23">
      <c r="B179" s="1">
        <v>0.65</v>
      </c>
      <c r="C179" s="108">
        <f t="shared" si="10"/>
        <v>94.27470000000001</v>
      </c>
      <c r="D179" s="1" t="s">
        <v>401</v>
      </c>
      <c r="E179" s="1" t="s">
        <v>402</v>
      </c>
      <c r="F179" s="1">
        <v>1194.9000000000001</v>
      </c>
      <c r="G179" s="32">
        <f t="shared" si="11"/>
        <v>24.881811395869622</v>
      </c>
      <c r="H179" s="1">
        <v>4.0189999999999997E-2</v>
      </c>
      <c r="I179" s="1">
        <v>190.4</v>
      </c>
      <c r="J179" s="1">
        <v>419.28</v>
      </c>
      <c r="K179" s="1">
        <v>0.96489999999999998</v>
      </c>
      <c r="L179" s="1">
        <v>1.8227</v>
      </c>
      <c r="M179" s="1">
        <v>1.4890000000000001</v>
      </c>
      <c r="N179" s="1">
        <v>1.083</v>
      </c>
      <c r="O179" s="1">
        <v>1.3440000000000001</v>
      </c>
      <c r="P179" s="1">
        <v>597</v>
      </c>
      <c r="Q179" s="1">
        <v>170.9</v>
      </c>
      <c r="R179" s="1">
        <v>185.3</v>
      </c>
      <c r="S179" s="1">
        <v>11.86</v>
      </c>
      <c r="T179" s="1">
        <v>119.7</v>
      </c>
      <c r="U179" s="1">
        <v>11.68</v>
      </c>
      <c r="V179" s="1">
        <v>10.09</v>
      </c>
      <c r="W179" s="1">
        <v>0.65</v>
      </c>
    </row>
    <row r="180" spans="2:23">
      <c r="B180" s="1">
        <v>0.7</v>
      </c>
      <c r="C180" s="108">
        <f t="shared" si="10"/>
        <v>101.5266</v>
      </c>
      <c r="D180" s="1" t="s">
        <v>403</v>
      </c>
      <c r="E180" s="1" t="s">
        <v>404</v>
      </c>
      <c r="F180" s="1">
        <v>1186.3</v>
      </c>
      <c r="G180" s="32">
        <f t="shared" si="11"/>
        <v>26.79528403001072</v>
      </c>
      <c r="H180" s="1">
        <v>3.7319999999999999E-2</v>
      </c>
      <c r="I180" s="1">
        <v>193.74</v>
      </c>
      <c r="J180" s="1">
        <v>420.03</v>
      </c>
      <c r="K180" s="1">
        <v>0.97719999999999996</v>
      </c>
      <c r="L180" s="1">
        <v>1.8183</v>
      </c>
      <c r="M180" s="1">
        <v>1.4990000000000001</v>
      </c>
      <c r="N180" s="1">
        <v>1.101</v>
      </c>
      <c r="O180" s="1">
        <v>1.3540000000000001</v>
      </c>
      <c r="P180" s="1">
        <v>586</v>
      </c>
      <c r="Q180" s="1">
        <v>170.5</v>
      </c>
      <c r="R180" s="1">
        <v>180</v>
      </c>
      <c r="S180" s="1">
        <v>11.96</v>
      </c>
      <c r="T180" s="1">
        <v>118.2</v>
      </c>
      <c r="U180" s="1">
        <v>11.88</v>
      </c>
      <c r="V180" s="1">
        <v>9.73</v>
      </c>
      <c r="W180" s="1">
        <v>0.7</v>
      </c>
    </row>
    <row r="181" spans="2:23">
      <c r="B181" s="1">
        <v>0.75</v>
      </c>
      <c r="C181" s="108">
        <f t="shared" si="10"/>
        <v>108.77850000000001</v>
      </c>
      <c r="D181" s="1" t="s">
        <v>405</v>
      </c>
      <c r="E181" s="1" t="s">
        <v>406</v>
      </c>
      <c r="F181" s="1">
        <v>1178.0999999999999</v>
      </c>
      <c r="G181" s="32">
        <f t="shared" si="11"/>
        <v>28.71912693854107</v>
      </c>
      <c r="H181" s="1">
        <v>3.4819999999999997E-2</v>
      </c>
      <c r="I181" s="1">
        <v>196.92</v>
      </c>
      <c r="J181" s="1">
        <v>420.71</v>
      </c>
      <c r="K181" s="1">
        <v>0.98880000000000001</v>
      </c>
      <c r="L181" s="1">
        <v>1.8141</v>
      </c>
      <c r="M181" s="1">
        <v>1.5089999999999999</v>
      </c>
      <c r="N181" s="1">
        <v>1.119</v>
      </c>
      <c r="O181" s="1">
        <v>1.363</v>
      </c>
      <c r="P181" s="1">
        <v>574</v>
      </c>
      <c r="Q181" s="1">
        <v>170.2</v>
      </c>
      <c r="R181" s="1">
        <v>175.1</v>
      </c>
      <c r="S181" s="1">
        <v>12.06</v>
      </c>
      <c r="T181" s="1">
        <v>116.8</v>
      </c>
      <c r="U181" s="1">
        <v>12.07</v>
      </c>
      <c r="V181" s="1">
        <v>9.39</v>
      </c>
      <c r="W181" s="1">
        <v>0.75</v>
      </c>
    </row>
    <row r="182" spans="2:23">
      <c r="B182" s="1">
        <v>0.8</v>
      </c>
      <c r="C182" s="108">
        <f t="shared" si="10"/>
        <v>116.03040000000001</v>
      </c>
      <c r="D182" s="1" t="s">
        <v>407</v>
      </c>
      <c r="E182" s="1">
        <v>0.08</v>
      </c>
      <c r="F182" s="1">
        <v>1170.0999999999999</v>
      </c>
      <c r="G182" s="32">
        <f t="shared" si="11"/>
        <v>30.656039239730223</v>
      </c>
      <c r="H182" s="1">
        <v>3.2620000000000003E-2</v>
      </c>
      <c r="I182" s="1">
        <v>199.96</v>
      </c>
      <c r="J182" s="1">
        <v>421.33</v>
      </c>
      <c r="K182" s="1">
        <v>0.99980000000000002</v>
      </c>
      <c r="L182" s="1">
        <v>1.8102</v>
      </c>
      <c r="M182" s="1">
        <v>1.5189999999999999</v>
      </c>
      <c r="N182" s="1">
        <v>1.1359999999999999</v>
      </c>
      <c r="O182" s="1">
        <v>1.373</v>
      </c>
      <c r="P182" s="1">
        <v>564</v>
      </c>
      <c r="Q182" s="1">
        <v>169.8</v>
      </c>
      <c r="R182" s="1">
        <v>170.6</v>
      </c>
      <c r="S182" s="1">
        <v>12.15</v>
      </c>
      <c r="T182" s="1">
        <v>115.5</v>
      </c>
      <c r="U182" s="1">
        <v>12.26</v>
      </c>
      <c r="V182" s="1">
        <v>9.07</v>
      </c>
      <c r="W182" s="1">
        <v>0.8</v>
      </c>
    </row>
    <row r="183" spans="2:23">
      <c r="B183" s="1">
        <v>0.85</v>
      </c>
      <c r="C183" s="108">
        <f t="shared" si="10"/>
        <v>123.28230000000001</v>
      </c>
      <c r="D183" s="1">
        <v>1.89</v>
      </c>
      <c r="E183" s="1">
        <v>1.99</v>
      </c>
      <c r="F183" s="1">
        <v>1162.4000000000001</v>
      </c>
      <c r="G183" s="32">
        <f t="shared" si="11"/>
        <v>32.594524119947849</v>
      </c>
      <c r="H183" s="1">
        <v>3.0679999999999999E-2</v>
      </c>
      <c r="I183" s="1">
        <v>202.88</v>
      </c>
      <c r="J183" s="1">
        <v>421.89</v>
      </c>
      <c r="K183" s="1">
        <v>1.0103</v>
      </c>
      <c r="L183" s="1">
        <v>1.8065</v>
      </c>
      <c r="M183" s="1">
        <v>1.5289999999999999</v>
      </c>
      <c r="N183" s="1">
        <v>1.1539999999999999</v>
      </c>
      <c r="O183" s="1">
        <v>1.3819999999999999</v>
      </c>
      <c r="P183" s="1">
        <v>554</v>
      </c>
      <c r="Q183" s="1">
        <v>169.4</v>
      </c>
      <c r="R183" s="1">
        <v>166.4</v>
      </c>
      <c r="S183" s="1">
        <v>12.24</v>
      </c>
      <c r="T183" s="1">
        <v>114.2</v>
      </c>
      <c r="U183" s="1">
        <v>12.45</v>
      </c>
      <c r="V183" s="1">
        <v>8.77</v>
      </c>
      <c r="W183" s="1">
        <v>0.85</v>
      </c>
    </row>
    <row r="184" spans="2:23">
      <c r="B184" s="1">
        <v>0.9</v>
      </c>
      <c r="C184" s="108">
        <f t="shared" si="10"/>
        <v>130.53420000000003</v>
      </c>
      <c r="D184" s="1">
        <v>3.72</v>
      </c>
      <c r="E184" s="1">
        <v>3.83</v>
      </c>
      <c r="F184" s="1">
        <v>1154.9000000000001</v>
      </c>
      <c r="G184" s="32">
        <f t="shared" si="11"/>
        <v>34.554250172771248</v>
      </c>
      <c r="H184" s="1">
        <v>2.894E-2</v>
      </c>
      <c r="I184" s="1">
        <v>205.69</v>
      </c>
      <c r="J184" s="1">
        <v>422.41</v>
      </c>
      <c r="K184" s="1">
        <v>1.0204</v>
      </c>
      <c r="L184" s="1">
        <v>1.8029999999999999</v>
      </c>
      <c r="M184" s="1">
        <v>1.54</v>
      </c>
      <c r="N184" s="1">
        <v>1.171</v>
      </c>
      <c r="O184" s="1">
        <v>1.3919999999999999</v>
      </c>
      <c r="P184" s="1">
        <v>544</v>
      </c>
      <c r="Q184" s="1">
        <v>169</v>
      </c>
      <c r="R184" s="1">
        <v>162.4</v>
      </c>
      <c r="S184" s="1">
        <v>12.33</v>
      </c>
      <c r="T184" s="1">
        <v>113</v>
      </c>
      <c r="U184" s="1">
        <v>12.64</v>
      </c>
      <c r="V184" s="1">
        <v>8.48</v>
      </c>
      <c r="W184" s="1">
        <v>0.9</v>
      </c>
    </row>
    <row r="185" spans="2:23">
      <c r="B185" s="1">
        <v>0.95</v>
      </c>
      <c r="C185" s="108">
        <f t="shared" si="10"/>
        <v>137.7861</v>
      </c>
      <c r="D185" s="1">
        <v>5.48</v>
      </c>
      <c r="E185" s="1">
        <v>5.58</v>
      </c>
      <c r="F185" s="1">
        <v>1147.5999999999999</v>
      </c>
      <c r="G185" s="32">
        <f t="shared" si="11"/>
        <v>36.523009495982464</v>
      </c>
      <c r="H185" s="1">
        <v>2.7380000000000002E-2</v>
      </c>
      <c r="I185" s="1">
        <v>208.4</v>
      </c>
      <c r="J185" s="1">
        <v>422.88</v>
      </c>
      <c r="K185" s="1">
        <v>1.03</v>
      </c>
      <c r="L185" s="1">
        <v>1.7996000000000001</v>
      </c>
      <c r="M185" s="1">
        <v>1.55</v>
      </c>
      <c r="N185" s="1">
        <v>1.1879999999999999</v>
      </c>
      <c r="O185" s="1">
        <v>1.4019999999999999</v>
      </c>
      <c r="P185" s="1">
        <v>535</v>
      </c>
      <c r="Q185" s="1">
        <v>168.6</v>
      </c>
      <c r="R185" s="1">
        <v>158.69999999999999</v>
      </c>
      <c r="S185" s="1">
        <v>12.41</v>
      </c>
      <c r="T185" s="1">
        <v>111.8</v>
      </c>
      <c r="U185" s="1">
        <v>12.82</v>
      </c>
      <c r="V185" s="1">
        <v>8.2100000000000009</v>
      </c>
      <c r="W185" s="1">
        <v>0.95</v>
      </c>
    </row>
    <row r="186" spans="2:23">
      <c r="B186" s="1">
        <v>1</v>
      </c>
      <c r="C186" s="108">
        <f t="shared" si="10"/>
        <v>145.03800000000001</v>
      </c>
      <c r="D186" s="1">
        <v>7.17</v>
      </c>
      <c r="E186" s="1">
        <v>7.27</v>
      </c>
      <c r="F186" s="1">
        <v>1140.5</v>
      </c>
      <c r="G186" s="32">
        <f t="shared" si="11"/>
        <v>38.52080123266564</v>
      </c>
      <c r="H186" s="1">
        <v>2.596E-2</v>
      </c>
      <c r="I186" s="1">
        <v>211.02</v>
      </c>
      <c r="J186" s="1">
        <v>423.31</v>
      </c>
      <c r="K186" s="1">
        <v>1.0391999999999999</v>
      </c>
      <c r="L186" s="1">
        <v>1.7964</v>
      </c>
      <c r="M186" s="1">
        <v>1.56</v>
      </c>
      <c r="N186" s="1">
        <v>1.2050000000000001</v>
      </c>
      <c r="O186" s="1">
        <v>1.413</v>
      </c>
      <c r="P186" s="1">
        <v>525</v>
      </c>
      <c r="Q186" s="1">
        <v>168.1</v>
      </c>
      <c r="R186" s="1">
        <v>155.30000000000001</v>
      </c>
      <c r="S186" s="1">
        <v>12.49</v>
      </c>
      <c r="T186" s="1">
        <v>110.7</v>
      </c>
      <c r="U186" s="1">
        <v>13.01</v>
      </c>
      <c r="V186" s="1">
        <v>7.95</v>
      </c>
      <c r="W186" s="1">
        <v>1</v>
      </c>
    </row>
    <row r="187" spans="2:23">
      <c r="B187" s="1">
        <v>1.1000000000000001</v>
      </c>
      <c r="C187" s="108">
        <f t="shared" si="10"/>
        <v>159.54180000000002</v>
      </c>
      <c r="D187" s="1">
        <v>10.36</v>
      </c>
      <c r="E187" s="1">
        <v>10.47</v>
      </c>
      <c r="F187" s="1">
        <v>1126.8</v>
      </c>
      <c r="G187" s="32">
        <f t="shared" si="11"/>
        <v>42.535091450446622</v>
      </c>
      <c r="H187" s="1">
        <v>2.351E-2</v>
      </c>
      <c r="I187" s="1">
        <v>216.03</v>
      </c>
      <c r="J187" s="1">
        <v>424.07</v>
      </c>
      <c r="K187" s="1">
        <v>1.0567</v>
      </c>
      <c r="L187" s="1">
        <v>1.7903</v>
      </c>
      <c r="M187" s="1">
        <v>1.581</v>
      </c>
      <c r="N187" s="1">
        <v>1.2390000000000001</v>
      </c>
      <c r="O187" s="1">
        <v>1.4339999999999999</v>
      </c>
      <c r="P187" s="1">
        <v>508</v>
      </c>
      <c r="Q187" s="1">
        <v>167.2</v>
      </c>
      <c r="R187" s="1">
        <v>148.80000000000001</v>
      </c>
      <c r="S187" s="1">
        <v>12.65</v>
      </c>
      <c r="T187" s="1">
        <v>108.6</v>
      </c>
      <c r="U187" s="1">
        <v>13.39</v>
      </c>
      <c r="V187" s="1">
        <v>7.46</v>
      </c>
      <c r="W187" s="1">
        <v>1.1000000000000001</v>
      </c>
    </row>
    <row r="188" spans="2:23">
      <c r="B188" s="1">
        <v>1.2</v>
      </c>
      <c r="C188" s="108">
        <f t="shared" si="10"/>
        <v>174.04560000000001</v>
      </c>
      <c r="D188" s="1">
        <v>13.34</v>
      </c>
      <c r="E188" s="1">
        <v>13.46</v>
      </c>
      <c r="F188" s="1">
        <v>1113.7</v>
      </c>
      <c r="G188" s="32">
        <f t="shared" si="11"/>
        <v>46.620046620046622</v>
      </c>
      <c r="H188" s="1">
        <v>2.145E-2</v>
      </c>
      <c r="I188" s="1">
        <v>220.76</v>
      </c>
      <c r="J188" s="1">
        <v>424.68</v>
      </c>
      <c r="K188" s="1">
        <v>1.073</v>
      </c>
      <c r="L188" s="1">
        <v>1.7846</v>
      </c>
      <c r="M188" s="1">
        <v>1.603</v>
      </c>
      <c r="N188" s="1">
        <v>1.274</v>
      </c>
      <c r="O188" s="1">
        <v>1.4570000000000001</v>
      </c>
      <c r="P188" s="1">
        <v>492</v>
      </c>
      <c r="Q188" s="1">
        <v>166.3</v>
      </c>
      <c r="R188" s="1">
        <v>143.1</v>
      </c>
      <c r="S188" s="1">
        <v>12.81</v>
      </c>
      <c r="T188" s="1">
        <v>106.7</v>
      </c>
      <c r="U188" s="1">
        <v>13.79</v>
      </c>
      <c r="V188" s="1">
        <v>7.01</v>
      </c>
      <c r="W188" s="1">
        <v>1.2</v>
      </c>
    </row>
    <row r="189" spans="2:23">
      <c r="B189" s="1">
        <v>1.3</v>
      </c>
      <c r="C189" s="108">
        <f t="shared" si="10"/>
        <v>188.54940000000002</v>
      </c>
      <c r="D189" s="1">
        <v>16.149999999999999</v>
      </c>
      <c r="E189" s="1">
        <v>16.260000000000002</v>
      </c>
      <c r="F189" s="1">
        <v>1101</v>
      </c>
      <c r="G189" s="32">
        <f t="shared" si="11"/>
        <v>50.761421319796959</v>
      </c>
      <c r="H189" s="1">
        <v>1.9699999999999999E-2</v>
      </c>
      <c r="I189" s="1">
        <v>225.26</v>
      </c>
      <c r="J189" s="1">
        <v>425.19</v>
      </c>
      <c r="K189" s="1">
        <v>1.0883</v>
      </c>
      <c r="L189" s="1">
        <v>1.7791999999999999</v>
      </c>
      <c r="M189" s="1">
        <v>1.6240000000000001</v>
      </c>
      <c r="N189" s="1">
        <v>1.31</v>
      </c>
      <c r="O189" s="1">
        <v>1.4810000000000001</v>
      </c>
      <c r="P189" s="1">
        <v>477</v>
      </c>
      <c r="Q189" s="1">
        <v>165.4</v>
      </c>
      <c r="R189" s="1">
        <v>137.80000000000001</v>
      </c>
      <c r="S189" s="1">
        <v>12.95</v>
      </c>
      <c r="T189" s="1">
        <v>104.8</v>
      </c>
      <c r="U189" s="1">
        <v>14.19</v>
      </c>
      <c r="V189" s="1">
        <v>6.59</v>
      </c>
      <c r="W189" s="1">
        <v>1.3</v>
      </c>
    </row>
    <row r="190" spans="2:23">
      <c r="B190" s="1">
        <v>1.4</v>
      </c>
      <c r="C190" s="108">
        <f t="shared" si="10"/>
        <v>203.0532</v>
      </c>
      <c r="D190" s="1">
        <v>18.79</v>
      </c>
      <c r="E190" s="1">
        <v>18.91</v>
      </c>
      <c r="F190" s="1">
        <v>1088.8</v>
      </c>
      <c r="G190" s="32">
        <f t="shared" si="11"/>
        <v>54.975261132490374</v>
      </c>
      <c r="H190" s="1">
        <v>1.8190000000000001E-2</v>
      </c>
      <c r="I190" s="1">
        <v>229.56</v>
      </c>
      <c r="J190" s="1">
        <v>425.59</v>
      </c>
      <c r="K190" s="1">
        <v>1.1027</v>
      </c>
      <c r="L190" s="1">
        <v>1.7741</v>
      </c>
      <c r="M190" s="1">
        <v>1.647</v>
      </c>
      <c r="N190" s="1">
        <v>1.347</v>
      </c>
      <c r="O190" s="1">
        <v>1.506</v>
      </c>
      <c r="P190" s="1">
        <v>462</v>
      </c>
      <c r="Q190" s="1">
        <v>164.4</v>
      </c>
      <c r="R190" s="1">
        <v>133</v>
      </c>
      <c r="S190" s="1">
        <v>13.12</v>
      </c>
      <c r="T190" s="1">
        <v>103.1</v>
      </c>
      <c r="U190" s="1">
        <v>14.6</v>
      </c>
      <c r="V190" s="1">
        <v>6.2</v>
      </c>
      <c r="W190" s="1">
        <v>1.4</v>
      </c>
    </row>
    <row r="191" spans="2:23">
      <c r="B191" s="1">
        <v>1.5</v>
      </c>
      <c r="C191" s="108">
        <f t="shared" si="10"/>
        <v>217.55700000000002</v>
      </c>
      <c r="D191" s="1">
        <v>21.3</v>
      </c>
      <c r="E191" s="1">
        <v>21.41</v>
      </c>
      <c r="F191" s="1">
        <v>1076.9000000000001</v>
      </c>
      <c r="G191" s="32">
        <f t="shared" si="11"/>
        <v>59.276822762299943</v>
      </c>
      <c r="H191" s="1">
        <v>1.687E-2</v>
      </c>
      <c r="I191" s="1">
        <v>233.68</v>
      </c>
      <c r="J191" s="1">
        <v>425.89</v>
      </c>
      <c r="K191" s="1">
        <v>1.1165</v>
      </c>
      <c r="L191" s="1">
        <v>1.7690999999999999</v>
      </c>
      <c r="M191" s="1">
        <v>1.67</v>
      </c>
      <c r="N191" s="1">
        <v>1.385</v>
      </c>
      <c r="O191" s="1">
        <v>1.532</v>
      </c>
      <c r="P191" s="1">
        <v>448</v>
      </c>
      <c r="Q191" s="1">
        <v>163.4</v>
      </c>
      <c r="R191" s="1">
        <v>128.5</v>
      </c>
      <c r="S191" s="1">
        <v>13.23</v>
      </c>
      <c r="T191" s="1">
        <v>101.5</v>
      </c>
      <c r="U191" s="1">
        <v>15.03</v>
      </c>
      <c r="V191" s="1">
        <v>5.83</v>
      </c>
      <c r="W191" s="1">
        <v>1.5</v>
      </c>
    </row>
    <row r="192" spans="2:23">
      <c r="B192" s="1">
        <v>1.6</v>
      </c>
      <c r="C192" s="108">
        <f t="shared" si="10"/>
        <v>232.06080000000003</v>
      </c>
      <c r="D192" s="1">
        <v>23.68</v>
      </c>
      <c r="E192" s="1">
        <v>23.8</v>
      </c>
      <c r="F192" s="1">
        <v>1065.2</v>
      </c>
      <c r="G192" s="32">
        <f t="shared" si="11"/>
        <v>63.653723742838963</v>
      </c>
      <c r="H192" s="1">
        <v>1.5709999999999998E-2</v>
      </c>
      <c r="I192" s="1">
        <v>237.65</v>
      </c>
      <c r="J192" s="1">
        <v>426.11</v>
      </c>
      <c r="K192" s="1">
        <v>1.1295999999999999</v>
      </c>
      <c r="L192" s="1">
        <v>1.7644</v>
      </c>
      <c r="M192" s="1">
        <v>1.694</v>
      </c>
      <c r="N192" s="1">
        <v>1.4239999999999999</v>
      </c>
      <c r="O192" s="1">
        <v>1.56</v>
      </c>
      <c r="P192" s="1">
        <v>435</v>
      </c>
      <c r="Q192" s="1">
        <v>162.4</v>
      </c>
      <c r="R192" s="1">
        <v>124.3</v>
      </c>
      <c r="S192" s="1">
        <v>13.38</v>
      </c>
      <c r="T192" s="1">
        <v>99.98</v>
      </c>
      <c r="U192" s="1">
        <v>15.46</v>
      </c>
      <c r="V192" s="1">
        <v>5.49</v>
      </c>
      <c r="W192" s="1">
        <v>1.6</v>
      </c>
    </row>
    <row r="193" spans="2:23">
      <c r="B193" s="1">
        <v>1.7</v>
      </c>
      <c r="C193" s="108">
        <f t="shared" si="10"/>
        <v>246.56460000000001</v>
      </c>
      <c r="D193" s="1">
        <v>25.96</v>
      </c>
      <c r="E193" s="1">
        <v>26.07</v>
      </c>
      <c r="F193" s="1">
        <v>1053.8</v>
      </c>
      <c r="G193" s="32">
        <f t="shared" si="11"/>
        <v>68.119891008174392</v>
      </c>
      <c r="H193" s="1">
        <v>1.468E-2</v>
      </c>
      <c r="I193" s="1">
        <v>241.48</v>
      </c>
      <c r="J193" s="1">
        <v>426.25</v>
      </c>
      <c r="K193" s="1">
        <v>1.1420999999999999</v>
      </c>
      <c r="L193" s="1">
        <v>1.7597</v>
      </c>
      <c r="M193" s="1">
        <v>1.7190000000000001</v>
      </c>
      <c r="N193" s="1">
        <v>1.4650000000000001</v>
      </c>
      <c r="O193" s="1">
        <v>1.59</v>
      </c>
      <c r="P193" s="1">
        <v>422</v>
      </c>
      <c r="Q193" s="1">
        <v>161.4</v>
      </c>
      <c r="R193" s="1">
        <v>120.4</v>
      </c>
      <c r="S193" s="1">
        <v>13.52</v>
      </c>
      <c r="T193" s="1">
        <v>98.53</v>
      </c>
      <c r="U193" s="1">
        <v>15.91</v>
      </c>
      <c r="V193" s="1">
        <v>5.16</v>
      </c>
      <c r="W193" s="1">
        <v>1.7</v>
      </c>
    </row>
    <row r="194" spans="2:23">
      <c r="B194" s="1">
        <v>1.8</v>
      </c>
      <c r="C194" s="108">
        <f t="shared" si="10"/>
        <v>261.06840000000005</v>
      </c>
      <c r="D194" s="1">
        <v>28.13</v>
      </c>
      <c r="E194" s="1">
        <v>28.25</v>
      </c>
      <c r="F194" s="1">
        <v>1042.5999999999999</v>
      </c>
      <c r="G194" s="32">
        <f t="shared" si="11"/>
        <v>72.674418604651166</v>
      </c>
      <c r="H194" s="1">
        <v>1.376E-2</v>
      </c>
      <c r="I194" s="1">
        <v>245.19</v>
      </c>
      <c r="J194" s="1">
        <v>426.31</v>
      </c>
      <c r="K194" s="1">
        <v>1.1541999999999999</v>
      </c>
      <c r="L194" s="1">
        <v>1.7552000000000001</v>
      </c>
      <c r="M194" s="1">
        <v>1.7450000000000001</v>
      </c>
      <c r="N194" s="1">
        <v>1.5089999999999999</v>
      </c>
      <c r="O194" s="1">
        <v>1.621</v>
      </c>
      <c r="P194" s="1">
        <v>410</v>
      </c>
      <c r="Q194" s="1">
        <v>160.30000000000001</v>
      </c>
      <c r="R194" s="1">
        <v>116.8</v>
      </c>
      <c r="S194" s="1">
        <v>13.66</v>
      </c>
      <c r="T194" s="1">
        <v>97.15</v>
      </c>
      <c r="U194" s="1">
        <v>16.38</v>
      </c>
      <c r="V194" s="1">
        <v>4.8600000000000003</v>
      </c>
      <c r="W194" s="1">
        <v>1.8</v>
      </c>
    </row>
    <row r="195" spans="2:23">
      <c r="B195" s="1">
        <v>1.9</v>
      </c>
      <c r="C195" s="108">
        <f t="shared" si="10"/>
        <v>275.57220000000001</v>
      </c>
      <c r="D195" s="1">
        <v>30.22</v>
      </c>
      <c r="E195" s="1">
        <v>30.34</v>
      </c>
      <c r="F195" s="1">
        <v>1031.5999999999999</v>
      </c>
      <c r="G195" s="32">
        <f t="shared" si="11"/>
        <v>77.33952049497293</v>
      </c>
      <c r="H195" s="1">
        <v>1.2930000000000001E-2</v>
      </c>
      <c r="I195" s="1">
        <v>248.79</v>
      </c>
      <c r="J195" s="1">
        <v>426.31</v>
      </c>
      <c r="K195" s="1">
        <v>1.1657</v>
      </c>
      <c r="L195" s="1">
        <v>1.7507999999999999</v>
      </c>
      <c r="M195" s="1">
        <v>1.772</v>
      </c>
      <c r="N195" s="1">
        <v>1.5549999999999999</v>
      </c>
      <c r="O195" s="1">
        <v>1.655</v>
      </c>
      <c r="P195" s="1">
        <v>398</v>
      </c>
      <c r="Q195" s="1">
        <v>159.30000000000001</v>
      </c>
      <c r="R195" s="1">
        <v>113.3</v>
      </c>
      <c r="S195" s="1">
        <v>13.81</v>
      </c>
      <c r="T195" s="1">
        <v>95.82</v>
      </c>
      <c r="U195" s="1">
        <v>16.86</v>
      </c>
      <c r="V195" s="1">
        <v>4.57</v>
      </c>
      <c r="W195" s="1">
        <v>1.9</v>
      </c>
    </row>
    <row r="196" spans="2:23">
      <c r="B196" s="1">
        <v>2</v>
      </c>
      <c r="C196" s="108">
        <f t="shared" si="10"/>
        <v>290.07600000000002</v>
      </c>
      <c r="D196" s="1">
        <v>32.22</v>
      </c>
      <c r="E196" s="1">
        <v>32.340000000000003</v>
      </c>
      <c r="F196" s="1">
        <v>1020.7</v>
      </c>
      <c r="G196" s="32">
        <f t="shared" si="11"/>
        <v>82.101806239737272</v>
      </c>
      <c r="H196" s="1">
        <v>1.218E-2</v>
      </c>
      <c r="I196" s="1">
        <v>252.29</v>
      </c>
      <c r="J196" s="1">
        <v>426.24</v>
      </c>
      <c r="K196" s="1">
        <v>1.1769000000000001</v>
      </c>
      <c r="L196" s="1">
        <v>1.7464</v>
      </c>
      <c r="M196" s="1">
        <v>1.8</v>
      </c>
      <c r="N196" s="1">
        <v>1.603</v>
      </c>
      <c r="O196" s="1">
        <v>1.69</v>
      </c>
      <c r="P196" s="1">
        <v>386</v>
      </c>
      <c r="Q196" s="1">
        <v>158.19999999999999</v>
      </c>
      <c r="R196" s="1">
        <v>110.1</v>
      </c>
      <c r="S196" s="1">
        <v>13.95</v>
      </c>
      <c r="T196" s="1">
        <v>94.56</v>
      </c>
      <c r="U196" s="1">
        <v>17.36</v>
      </c>
      <c r="V196" s="1">
        <v>4.29</v>
      </c>
      <c r="W196" s="1">
        <v>2</v>
      </c>
    </row>
    <row r="197" spans="2:23">
      <c r="B197" s="1">
        <v>2.1</v>
      </c>
      <c r="C197" s="108">
        <f t="shared" si="10"/>
        <v>304.57980000000003</v>
      </c>
      <c r="D197" s="1">
        <v>34.159999999999997</v>
      </c>
      <c r="E197" s="1">
        <v>34.28</v>
      </c>
      <c r="F197" s="1">
        <v>1009.9</v>
      </c>
      <c r="G197" s="32">
        <f t="shared" si="11"/>
        <v>86.956521739130437</v>
      </c>
      <c r="H197" s="1">
        <v>1.15E-2</v>
      </c>
      <c r="I197" s="1">
        <v>255.71</v>
      </c>
      <c r="J197" s="1">
        <v>426.1</v>
      </c>
      <c r="K197" s="1">
        <v>1.1878</v>
      </c>
      <c r="L197" s="1">
        <v>1.7421</v>
      </c>
      <c r="M197" s="1">
        <v>1.83</v>
      </c>
      <c r="N197" s="1">
        <v>1.655</v>
      </c>
      <c r="O197" s="1">
        <v>1.728</v>
      </c>
      <c r="P197" s="1">
        <v>375</v>
      </c>
      <c r="Q197" s="1">
        <v>157.1</v>
      </c>
      <c r="R197" s="1">
        <v>107</v>
      </c>
      <c r="S197" s="1">
        <v>14.1</v>
      </c>
      <c r="T197" s="1">
        <v>93.34</v>
      </c>
      <c r="U197" s="1">
        <v>17.88</v>
      </c>
      <c r="V197" s="1">
        <v>4.03</v>
      </c>
      <c r="W197" s="1">
        <v>2.1</v>
      </c>
    </row>
    <row r="198" spans="2:23">
      <c r="B198" s="1">
        <v>2.2000000000000002</v>
      </c>
      <c r="C198" s="108">
        <f t="shared" si="10"/>
        <v>319.08360000000005</v>
      </c>
      <c r="D198" s="1">
        <v>36.020000000000003</v>
      </c>
      <c r="E198" s="1">
        <v>36.14</v>
      </c>
      <c r="F198" s="1">
        <v>999.2</v>
      </c>
      <c r="G198" s="32">
        <f t="shared" si="11"/>
        <v>91.911764705882348</v>
      </c>
      <c r="H198" s="1">
        <v>1.0880000000000001E-2</v>
      </c>
      <c r="I198" s="1">
        <v>259.05</v>
      </c>
      <c r="J198" s="1">
        <v>425.9</v>
      </c>
      <c r="K198" s="1">
        <v>1.1982999999999999</v>
      </c>
      <c r="L198" s="1">
        <v>1.7379</v>
      </c>
      <c r="M198" s="1">
        <v>1.861</v>
      </c>
      <c r="N198" s="1">
        <v>1.7090000000000001</v>
      </c>
      <c r="O198" s="1">
        <v>1.7689999999999999</v>
      </c>
      <c r="P198" s="1">
        <v>364</v>
      </c>
      <c r="Q198" s="1">
        <v>156</v>
      </c>
      <c r="R198" s="1">
        <v>104</v>
      </c>
      <c r="S198" s="1">
        <v>14.25</v>
      </c>
      <c r="T198" s="1">
        <v>92.17</v>
      </c>
      <c r="U198" s="1">
        <v>18.420000000000002</v>
      </c>
      <c r="V198" s="1">
        <v>3.78</v>
      </c>
      <c r="W198" s="1">
        <v>2.2000000000000002</v>
      </c>
    </row>
    <row r="199" spans="2:23">
      <c r="B199" s="1">
        <v>2.2999999999999998</v>
      </c>
      <c r="C199" s="108">
        <f t="shared" si="10"/>
        <v>333.5874</v>
      </c>
      <c r="D199" s="1">
        <v>37.82</v>
      </c>
      <c r="E199" s="1">
        <v>37.94</v>
      </c>
      <c r="F199" s="1">
        <v>988.6</v>
      </c>
      <c r="G199" s="32">
        <f t="shared" si="11"/>
        <v>96.993210475266736</v>
      </c>
      <c r="H199" s="1">
        <v>1.031E-2</v>
      </c>
      <c r="I199" s="1">
        <v>262.32</v>
      </c>
      <c r="J199" s="1">
        <v>425.64</v>
      </c>
      <c r="K199" s="1">
        <v>1.2084999999999999</v>
      </c>
      <c r="L199" s="1">
        <v>1.7336</v>
      </c>
      <c r="M199" s="1">
        <v>1.8939999999999999</v>
      </c>
      <c r="N199" s="1">
        <v>1.768</v>
      </c>
      <c r="O199" s="1">
        <v>1.8129999999999999</v>
      </c>
      <c r="P199" s="1">
        <v>353</v>
      </c>
      <c r="Q199" s="1">
        <v>154.9</v>
      </c>
      <c r="R199" s="1">
        <v>101.2</v>
      </c>
      <c r="S199" s="1">
        <v>14.4</v>
      </c>
      <c r="T199" s="1">
        <v>91.05</v>
      </c>
      <c r="U199" s="1">
        <v>18.989999999999998</v>
      </c>
      <c r="V199" s="1">
        <v>3.54</v>
      </c>
      <c r="W199" s="1">
        <v>2.2999999999999998</v>
      </c>
    </row>
    <row r="200" spans="2:23">
      <c r="B200" s="1">
        <v>2.4</v>
      </c>
      <c r="C200" s="108">
        <f t="shared" si="10"/>
        <v>348.09120000000001</v>
      </c>
      <c r="D200" s="1">
        <v>39.56</v>
      </c>
      <c r="E200" s="1">
        <v>39.68</v>
      </c>
      <c r="F200" s="1">
        <v>978</v>
      </c>
      <c r="G200" s="32">
        <f t="shared" si="11"/>
        <v>102.24948875255623</v>
      </c>
      <c r="H200" s="1">
        <v>9.7800000000000005E-3</v>
      </c>
      <c r="I200" s="1">
        <v>265.52</v>
      </c>
      <c r="J200" s="1">
        <v>425.33</v>
      </c>
      <c r="K200" s="1">
        <v>1.2184999999999999</v>
      </c>
      <c r="L200" s="1">
        <v>1.7294</v>
      </c>
      <c r="M200" s="1">
        <v>1.929</v>
      </c>
      <c r="N200" s="1">
        <v>1.831</v>
      </c>
      <c r="O200" s="1">
        <v>1.86</v>
      </c>
      <c r="P200" s="1">
        <v>343</v>
      </c>
      <c r="Q200" s="1">
        <v>153.80000000000001</v>
      </c>
      <c r="R200" s="1">
        <v>98.5</v>
      </c>
      <c r="S200" s="1">
        <v>14.55</v>
      </c>
      <c r="T200" s="1">
        <v>89.96</v>
      </c>
      <c r="U200" s="1">
        <v>19.579999999999998</v>
      </c>
      <c r="V200" s="1">
        <v>3.31</v>
      </c>
      <c r="W200" s="1">
        <v>2.4</v>
      </c>
    </row>
    <row r="201" spans="2:23">
      <c r="B201" s="1">
        <v>2.5</v>
      </c>
      <c r="C201" s="108">
        <f t="shared" si="10"/>
        <v>362.59500000000003</v>
      </c>
      <c r="D201" s="1">
        <v>41.25</v>
      </c>
      <c r="E201" s="1">
        <v>41.37</v>
      </c>
      <c r="F201" s="1">
        <v>967.5</v>
      </c>
      <c r="G201" s="32">
        <f t="shared" si="11"/>
        <v>107.64262648008612</v>
      </c>
      <c r="H201" s="1">
        <v>9.2899999999999996E-3</v>
      </c>
      <c r="I201" s="1">
        <v>268.67</v>
      </c>
      <c r="J201" s="1">
        <v>424.95</v>
      </c>
      <c r="K201" s="1">
        <v>1.2282</v>
      </c>
      <c r="L201" s="1">
        <v>1.7251000000000001</v>
      </c>
      <c r="M201" s="1">
        <v>1.9670000000000001</v>
      </c>
      <c r="N201" s="1">
        <v>1.8979999999999999</v>
      </c>
      <c r="O201" s="1">
        <v>1.911</v>
      </c>
      <c r="P201" s="1">
        <v>332</v>
      </c>
      <c r="Q201" s="1">
        <v>152.6</v>
      </c>
      <c r="R201" s="1">
        <v>95.9</v>
      </c>
      <c r="S201" s="1">
        <v>14.71</v>
      </c>
      <c r="T201" s="1">
        <v>88.91</v>
      </c>
      <c r="U201" s="1">
        <v>20.21</v>
      </c>
      <c r="V201" s="1">
        <v>3.1</v>
      </c>
      <c r="W201" s="1">
        <v>2.5</v>
      </c>
    </row>
    <row r="202" spans="2:23">
      <c r="B202" s="1">
        <v>2.6</v>
      </c>
      <c r="C202" s="108">
        <f t="shared" si="10"/>
        <v>377.09880000000004</v>
      </c>
      <c r="D202" s="1">
        <v>42.89</v>
      </c>
      <c r="E202" s="1">
        <v>43</v>
      </c>
      <c r="F202" s="1">
        <v>957</v>
      </c>
      <c r="G202" s="32">
        <f t="shared" si="11"/>
        <v>113.25028312570782</v>
      </c>
      <c r="H202" s="1">
        <v>8.8299999999999993E-3</v>
      </c>
      <c r="I202" s="1">
        <v>271.77</v>
      </c>
      <c r="J202" s="1">
        <v>424.51</v>
      </c>
      <c r="K202" s="1">
        <v>1.2377</v>
      </c>
      <c r="L202" s="1">
        <v>1.7209000000000001</v>
      </c>
      <c r="M202" s="1">
        <v>2.008</v>
      </c>
      <c r="N202" s="1">
        <v>1.9710000000000001</v>
      </c>
      <c r="O202" s="1">
        <v>1.966</v>
      </c>
      <c r="P202" s="1">
        <v>322</v>
      </c>
      <c r="Q202" s="1">
        <v>151.5</v>
      </c>
      <c r="R202" s="1">
        <v>93.4</v>
      </c>
      <c r="S202" s="1">
        <v>14.87</v>
      </c>
      <c r="T202" s="1">
        <v>87.89</v>
      </c>
      <c r="U202" s="1">
        <v>20.87</v>
      </c>
      <c r="V202" s="1">
        <v>2.89</v>
      </c>
      <c r="W202" s="1">
        <v>2.6</v>
      </c>
    </row>
    <row r="203" spans="2:23">
      <c r="B203" s="1">
        <v>2.7</v>
      </c>
      <c r="C203" s="108">
        <f t="shared" si="10"/>
        <v>391.60260000000005</v>
      </c>
      <c r="D203" s="1">
        <v>44.48</v>
      </c>
      <c r="E203" s="1">
        <v>44.59</v>
      </c>
      <c r="F203" s="1">
        <v>946.4</v>
      </c>
      <c r="G203" s="32">
        <f t="shared" si="11"/>
        <v>118.90606420927466</v>
      </c>
      <c r="H203" s="1">
        <v>8.4100000000000008E-3</v>
      </c>
      <c r="I203" s="1">
        <v>274.82</v>
      </c>
      <c r="J203" s="1">
        <v>424.02</v>
      </c>
      <c r="K203" s="1">
        <v>1.2470000000000001</v>
      </c>
      <c r="L203" s="1">
        <v>1.7165999999999999</v>
      </c>
      <c r="M203" s="1">
        <v>2.052</v>
      </c>
      <c r="N203" s="1">
        <v>2.0499999999999998</v>
      </c>
      <c r="O203" s="1">
        <v>2.0259999999999998</v>
      </c>
      <c r="P203" s="1">
        <v>313</v>
      </c>
      <c r="Q203" s="1">
        <v>150.30000000000001</v>
      </c>
      <c r="R203" s="1">
        <v>91</v>
      </c>
      <c r="S203" s="1">
        <v>15.03</v>
      </c>
      <c r="T203" s="1">
        <v>86.91</v>
      </c>
      <c r="U203" s="1">
        <v>21.56</v>
      </c>
      <c r="V203" s="1">
        <v>2.69</v>
      </c>
      <c r="W203" s="1">
        <v>2.7</v>
      </c>
    </row>
    <row r="204" spans="2:23">
      <c r="B204" s="1">
        <v>2.8</v>
      </c>
      <c r="C204" s="108">
        <f t="shared" si="10"/>
        <v>406.10640000000001</v>
      </c>
      <c r="D204" s="1">
        <v>46.02</v>
      </c>
      <c r="E204" s="1">
        <v>46.14</v>
      </c>
      <c r="F204" s="1">
        <v>935.8</v>
      </c>
      <c r="G204" s="32">
        <f t="shared" si="11"/>
        <v>124.68827930174565</v>
      </c>
      <c r="H204" s="1">
        <v>8.0199999999999994E-3</v>
      </c>
      <c r="I204" s="1">
        <v>277.83999999999997</v>
      </c>
      <c r="J204" s="1">
        <v>423.47</v>
      </c>
      <c r="K204" s="1">
        <v>1.2561</v>
      </c>
      <c r="L204" s="1">
        <v>1.7122999999999999</v>
      </c>
      <c r="M204" s="1">
        <v>2.1</v>
      </c>
      <c r="N204" s="1">
        <v>2.1360000000000001</v>
      </c>
      <c r="O204" s="1">
        <v>2.0910000000000002</v>
      </c>
      <c r="P204" s="1">
        <v>303</v>
      </c>
      <c r="Q204" s="1">
        <v>149.1</v>
      </c>
      <c r="R204" s="1">
        <v>88.6</v>
      </c>
      <c r="S204" s="1">
        <v>15.21</v>
      </c>
      <c r="T204" s="1">
        <v>85.96</v>
      </c>
      <c r="U204" s="1">
        <v>22.29</v>
      </c>
      <c r="V204" s="1">
        <v>2.5</v>
      </c>
      <c r="W204" s="1">
        <v>2.8</v>
      </c>
    </row>
    <row r="205" spans="2:23">
      <c r="B205" s="1">
        <v>2.9</v>
      </c>
      <c r="C205" s="108">
        <f t="shared" si="10"/>
        <v>420.61020000000002</v>
      </c>
      <c r="D205" s="1">
        <v>47.53</v>
      </c>
      <c r="E205" s="1">
        <v>47.64</v>
      </c>
      <c r="F205" s="1">
        <v>925.2</v>
      </c>
      <c r="G205" s="32">
        <f t="shared" si="11"/>
        <v>130.89005235602093</v>
      </c>
      <c r="H205" s="1">
        <v>7.6400000000000001E-3</v>
      </c>
      <c r="I205" s="1">
        <v>280.82</v>
      </c>
      <c r="J205" s="1">
        <v>422.85</v>
      </c>
      <c r="K205" s="1">
        <v>1.2650999999999999</v>
      </c>
      <c r="L205" s="1">
        <v>1.7079</v>
      </c>
      <c r="M205" s="1">
        <v>2.153</v>
      </c>
      <c r="N205" s="1">
        <v>2.23</v>
      </c>
      <c r="O205" s="1">
        <v>2.1629999999999998</v>
      </c>
      <c r="P205" s="1">
        <v>293</v>
      </c>
      <c r="Q205" s="1">
        <v>147.9</v>
      </c>
      <c r="R205" s="1">
        <v>86.3</v>
      </c>
      <c r="S205" s="1">
        <v>15.38</v>
      </c>
      <c r="T205" s="1">
        <v>85.04</v>
      </c>
      <c r="U205" s="1">
        <v>23.07</v>
      </c>
      <c r="V205" s="1">
        <v>2.31</v>
      </c>
      <c r="W205" s="1">
        <v>2.9</v>
      </c>
    </row>
    <row r="206" spans="2:23">
      <c r="B206" s="1">
        <v>3</v>
      </c>
      <c r="C206" s="108">
        <f t="shared" si="10"/>
        <v>435.11400000000003</v>
      </c>
      <c r="D206" s="1">
        <v>48.99</v>
      </c>
      <c r="E206" s="1">
        <v>49.1</v>
      </c>
      <c r="F206" s="1">
        <v>914.5</v>
      </c>
      <c r="G206" s="32">
        <f t="shared" si="11"/>
        <v>137.17421124828533</v>
      </c>
      <c r="H206" s="1">
        <v>7.2899999999999996E-3</v>
      </c>
      <c r="I206" s="1">
        <v>283.77999999999997</v>
      </c>
      <c r="J206" s="1">
        <v>422.18</v>
      </c>
      <c r="K206" s="1">
        <v>1.274</v>
      </c>
      <c r="L206" s="1">
        <v>1.7035</v>
      </c>
      <c r="M206" s="1">
        <v>2.2109999999999999</v>
      </c>
      <c r="N206" s="1">
        <v>2.3330000000000002</v>
      </c>
      <c r="O206" s="1">
        <v>2.2429999999999999</v>
      </c>
      <c r="P206" s="1">
        <v>284</v>
      </c>
      <c r="Q206" s="1">
        <v>146.69999999999999</v>
      </c>
      <c r="R206" s="1">
        <v>84.1</v>
      </c>
      <c r="S206" s="1">
        <v>15.57</v>
      </c>
      <c r="T206" s="1">
        <v>84.14</v>
      </c>
      <c r="U206" s="1">
        <v>23.89</v>
      </c>
      <c r="V206" s="1">
        <v>2.14</v>
      </c>
      <c r="W206" s="1">
        <v>3</v>
      </c>
    </row>
    <row r="207" spans="2:23">
      <c r="B207" s="1">
        <v>3.2</v>
      </c>
      <c r="C207" s="108">
        <f t="shared" si="10"/>
        <v>464.12160000000006</v>
      </c>
      <c r="D207" s="1">
        <v>51.81</v>
      </c>
      <c r="E207" s="1">
        <v>51.91</v>
      </c>
      <c r="F207" s="1">
        <v>892.6</v>
      </c>
      <c r="G207" s="32">
        <f t="shared" si="11"/>
        <v>150.37593984962407</v>
      </c>
      <c r="H207" s="1">
        <v>6.6499999999999997E-3</v>
      </c>
      <c r="I207" s="1">
        <v>289.62</v>
      </c>
      <c r="J207" s="1">
        <v>420.62</v>
      </c>
      <c r="K207" s="1">
        <v>1.2912999999999999</v>
      </c>
      <c r="L207" s="1">
        <v>1.6943999999999999</v>
      </c>
      <c r="M207" s="1">
        <v>2.3479999999999999</v>
      </c>
      <c r="N207" s="1">
        <v>2.5750000000000002</v>
      </c>
      <c r="O207" s="1">
        <v>2.4289999999999998</v>
      </c>
      <c r="P207" s="1">
        <v>265</v>
      </c>
      <c r="Q207" s="1">
        <v>144.19999999999999</v>
      </c>
      <c r="R207" s="1">
        <v>79.900000000000006</v>
      </c>
      <c r="S207" s="1">
        <v>15.96</v>
      </c>
      <c r="T207" s="1">
        <v>82.42</v>
      </c>
      <c r="U207" s="1">
        <v>25.7</v>
      </c>
      <c r="V207" s="1">
        <v>1.81</v>
      </c>
      <c r="W207" s="1">
        <v>3.2</v>
      </c>
    </row>
    <row r="208" spans="2:23">
      <c r="B208" s="1">
        <v>3.4</v>
      </c>
      <c r="C208" s="108">
        <f t="shared" si="10"/>
        <v>493.12920000000003</v>
      </c>
      <c r="D208" s="1">
        <v>54.49</v>
      </c>
      <c r="E208" s="1">
        <v>54.59</v>
      </c>
      <c r="F208" s="1">
        <v>870</v>
      </c>
      <c r="G208" s="32">
        <f t="shared" si="11"/>
        <v>164.74464579901152</v>
      </c>
      <c r="H208" s="1">
        <v>6.0699999999999999E-3</v>
      </c>
      <c r="I208" s="1">
        <v>295.43</v>
      </c>
      <c r="J208" s="1">
        <v>418.78</v>
      </c>
      <c r="K208" s="1">
        <v>1.3085</v>
      </c>
      <c r="L208" s="1">
        <v>1.6849000000000001</v>
      </c>
      <c r="M208" s="1">
        <v>2.5219999999999998</v>
      </c>
      <c r="N208" s="1">
        <v>2.879</v>
      </c>
      <c r="O208" s="1">
        <v>2.6629999999999998</v>
      </c>
      <c r="P208" s="1">
        <v>247</v>
      </c>
      <c r="Q208" s="1">
        <v>141.69999999999999</v>
      </c>
      <c r="R208" s="1">
        <v>75.7</v>
      </c>
      <c r="S208" s="1">
        <v>16.39</v>
      </c>
      <c r="T208" s="1">
        <v>80.81</v>
      </c>
      <c r="U208" s="1">
        <v>27.77</v>
      </c>
      <c r="V208" s="1">
        <v>1.5</v>
      </c>
      <c r="W208" s="1">
        <v>3.4</v>
      </c>
    </row>
    <row r="209" spans="1:23">
      <c r="B209" s="1">
        <v>3.6</v>
      </c>
      <c r="C209" s="108">
        <f t="shared" si="10"/>
        <v>522.13680000000011</v>
      </c>
      <c r="D209" s="1">
        <v>57.05</v>
      </c>
      <c r="E209" s="1">
        <v>57.15</v>
      </c>
      <c r="F209" s="1">
        <v>846.3</v>
      </c>
      <c r="G209" s="32">
        <f t="shared" si="11"/>
        <v>180.18018018018017</v>
      </c>
      <c r="H209" s="1">
        <v>5.5500000000000002E-3</v>
      </c>
      <c r="I209" s="1">
        <v>301.26</v>
      </c>
      <c r="J209" s="1">
        <v>416.6</v>
      </c>
      <c r="K209" s="1">
        <v>1.3253999999999999</v>
      </c>
      <c r="L209" s="1">
        <v>1.6747000000000001</v>
      </c>
      <c r="M209" s="1">
        <v>2.7519999999999998</v>
      </c>
      <c r="N209" s="1">
        <v>3.2759999999999998</v>
      </c>
      <c r="O209" s="1">
        <v>2.97</v>
      </c>
      <c r="P209" s="1">
        <v>229</v>
      </c>
      <c r="Q209" s="1">
        <v>139</v>
      </c>
      <c r="R209" s="1">
        <v>71.7</v>
      </c>
      <c r="S209" s="1">
        <v>16.87</v>
      </c>
      <c r="T209" s="1">
        <v>79.290000000000006</v>
      </c>
      <c r="U209" s="1">
        <v>30.17</v>
      </c>
      <c r="V209" s="1">
        <v>1.22</v>
      </c>
      <c r="W209" s="1">
        <v>3.6</v>
      </c>
    </row>
    <row r="210" spans="1:23">
      <c r="B210" s="1">
        <v>3.8</v>
      </c>
      <c r="C210" s="108">
        <f t="shared" si="10"/>
        <v>551.14440000000002</v>
      </c>
      <c r="D210" s="1">
        <v>59.5</v>
      </c>
      <c r="E210" s="1">
        <v>59.59</v>
      </c>
      <c r="F210" s="1">
        <v>821</v>
      </c>
      <c r="G210" s="32">
        <f t="shared" si="11"/>
        <v>197.62845849802372</v>
      </c>
      <c r="H210" s="1">
        <v>5.0600000000000003E-3</v>
      </c>
      <c r="I210" s="1">
        <v>307.16000000000003</v>
      </c>
      <c r="J210" s="1">
        <v>414.03</v>
      </c>
      <c r="K210" s="1">
        <v>1.3425</v>
      </c>
      <c r="L210" s="1">
        <v>1.6637999999999999</v>
      </c>
      <c r="M210" s="1">
        <v>3.07</v>
      </c>
      <c r="N210" s="1">
        <v>3.8149999999999999</v>
      </c>
      <c r="O210" s="1">
        <v>3.3860000000000001</v>
      </c>
      <c r="P210" s="1">
        <v>210</v>
      </c>
      <c r="Q210" s="1">
        <v>136.30000000000001</v>
      </c>
      <c r="R210" s="1">
        <v>67.7</v>
      </c>
      <c r="S210" s="1">
        <v>17.43</v>
      </c>
      <c r="T210" s="1">
        <v>77.900000000000006</v>
      </c>
      <c r="U210" s="1">
        <v>33.020000000000003</v>
      </c>
      <c r="V210" s="1">
        <v>0.97</v>
      </c>
      <c r="W210" s="1">
        <v>3.8</v>
      </c>
    </row>
    <row r="211" spans="1:23">
      <c r="B211" s="1">
        <v>4</v>
      </c>
      <c r="C211" s="108">
        <f t="shared" si="10"/>
        <v>580.15200000000004</v>
      </c>
      <c r="D211" s="1">
        <v>61.85</v>
      </c>
      <c r="E211" s="1">
        <v>61.93</v>
      </c>
      <c r="F211" s="1">
        <v>793.5</v>
      </c>
      <c r="G211" s="32">
        <f t="shared" si="11"/>
        <v>217.39130434782609</v>
      </c>
      <c r="H211" s="1">
        <v>4.5999999999999999E-3</v>
      </c>
      <c r="I211" s="1">
        <v>313.24</v>
      </c>
      <c r="J211" s="1">
        <v>410.97</v>
      </c>
      <c r="K211" s="1">
        <v>1.36</v>
      </c>
      <c r="L211" s="1">
        <v>1.6516999999999999</v>
      </c>
      <c r="M211" s="1">
        <v>3.5409999999999999</v>
      </c>
      <c r="N211" s="1">
        <v>4.5960000000000001</v>
      </c>
      <c r="O211" s="1">
        <v>3.9870000000000001</v>
      </c>
      <c r="P211" s="1">
        <v>192</v>
      </c>
      <c r="Q211" s="1">
        <v>133.4</v>
      </c>
      <c r="R211" s="1">
        <v>63.7</v>
      </c>
      <c r="S211" s="1">
        <v>18.079999999999998</v>
      </c>
      <c r="T211" s="1">
        <v>76.680000000000007</v>
      </c>
      <c r="U211" s="1">
        <v>36.479999999999997</v>
      </c>
      <c r="V211" s="1">
        <v>0.74</v>
      </c>
      <c r="W211" s="1">
        <v>4</v>
      </c>
    </row>
    <row r="212" spans="1:23">
      <c r="B212" s="1">
        <v>4.2</v>
      </c>
      <c r="C212" s="108">
        <f t="shared" si="10"/>
        <v>609.15960000000007</v>
      </c>
      <c r="D212" s="1">
        <v>64.099999999999994</v>
      </c>
      <c r="E212" s="1">
        <v>64.17</v>
      </c>
      <c r="F212" s="1">
        <v>762.6</v>
      </c>
      <c r="G212" s="32">
        <f t="shared" si="11"/>
        <v>239.80815347721821</v>
      </c>
      <c r="H212" s="1">
        <v>4.1700000000000001E-3</v>
      </c>
      <c r="I212" s="1">
        <v>319.64999999999998</v>
      </c>
      <c r="J212" s="1">
        <v>407.24</v>
      </c>
      <c r="K212" s="1">
        <v>1.3783000000000001</v>
      </c>
      <c r="L212" s="1">
        <v>1.6379999999999999</v>
      </c>
      <c r="M212" s="1">
        <v>4.306</v>
      </c>
      <c r="N212" s="1">
        <v>5.8259999999999996</v>
      </c>
      <c r="O212" s="1">
        <v>4.9290000000000003</v>
      </c>
      <c r="P212" s="1">
        <v>173</v>
      </c>
      <c r="Q212" s="1">
        <v>130.4</v>
      </c>
      <c r="R212" s="1">
        <v>59.4</v>
      </c>
      <c r="S212" s="1">
        <v>18.87</v>
      </c>
      <c r="T212" s="1">
        <v>75.77</v>
      </c>
      <c r="U212" s="1">
        <v>40.86</v>
      </c>
      <c r="V212" s="1">
        <v>0.53</v>
      </c>
      <c r="W212" s="1">
        <v>4.2</v>
      </c>
    </row>
    <row r="213" spans="1:23">
      <c r="B213" s="1" t="s">
        <v>408</v>
      </c>
      <c r="C213" s="108">
        <f t="shared" si="10"/>
        <v>711.12131399999998</v>
      </c>
      <c r="D213" s="1">
        <v>71.36</v>
      </c>
      <c r="E213" s="1">
        <v>71.36</v>
      </c>
      <c r="F213" s="1">
        <v>459.5</v>
      </c>
      <c r="G213" s="32">
        <f t="shared" si="11"/>
        <v>458.71559633027522</v>
      </c>
      <c r="H213" s="1">
        <v>2.1800000000000001E-3</v>
      </c>
      <c r="I213" s="1">
        <v>368.55</v>
      </c>
      <c r="J213" s="1">
        <v>368.55</v>
      </c>
      <c r="K213" s="1">
        <v>1.5181</v>
      </c>
      <c r="L213" s="1">
        <v>1.5181</v>
      </c>
      <c r="M213" s="1" t="s">
        <v>311</v>
      </c>
      <c r="N213" s="1" t="s">
        <v>311</v>
      </c>
      <c r="O213" s="1" t="s">
        <v>311</v>
      </c>
      <c r="P213" s="1" t="s">
        <v>311</v>
      </c>
      <c r="Q213" s="1" t="s">
        <v>311</v>
      </c>
      <c r="R213" s="1" t="s">
        <v>311</v>
      </c>
      <c r="S213" s="1" t="s">
        <v>311</v>
      </c>
      <c r="T213" s="1" t="s">
        <v>311</v>
      </c>
      <c r="U213" s="1" t="s">
        <v>311</v>
      </c>
      <c r="V213" s="1">
        <v>0</v>
      </c>
      <c r="W213" s="1">
        <v>4.9029999999999996</v>
      </c>
    </row>
    <row r="214" spans="1:23">
      <c r="D214" s="108"/>
    </row>
    <row r="215" spans="1:23">
      <c r="D215" s="108"/>
    </row>
    <row r="216" spans="1:23">
      <c r="D216" s="108"/>
    </row>
    <row r="217" spans="1:23">
      <c r="A217" t="s">
        <v>269</v>
      </c>
      <c r="D217" s="108"/>
    </row>
    <row r="218" spans="1:23">
      <c r="B218" s="1" t="s">
        <v>279</v>
      </c>
      <c r="C218" s="1">
        <v>2.9499999999999999E-3</v>
      </c>
      <c r="D218" s="108">
        <f t="shared" ref="D218:D264" si="12">C218*145.038</f>
        <v>0.42786210000000002</v>
      </c>
      <c r="E218" s="1">
        <v>1476.9</v>
      </c>
      <c r="F218" s="1">
        <f t="shared" ref="F218:F264" si="13">1/G218</f>
        <v>0.20287267710784712</v>
      </c>
      <c r="G218" s="1">
        <v>4.9291999999999998</v>
      </c>
      <c r="H218" s="1">
        <v>74.41</v>
      </c>
      <c r="I218" s="1">
        <v>303.89999999999998</v>
      </c>
      <c r="J218" s="1">
        <v>0.43230000000000002</v>
      </c>
      <c r="K218" s="1">
        <v>1.7579</v>
      </c>
      <c r="L218" s="1">
        <v>1.2190000000000001</v>
      </c>
      <c r="M218" s="1">
        <v>0.61799999999999999</v>
      </c>
      <c r="N218" s="1">
        <v>1.1639999999999999</v>
      </c>
      <c r="O218" s="1">
        <v>1046</v>
      </c>
      <c r="P218" s="1">
        <v>129.6</v>
      </c>
      <c r="Q218" s="1" t="s">
        <v>311</v>
      </c>
      <c r="R218" s="1" t="s">
        <v>311</v>
      </c>
      <c r="S218" s="1">
        <v>124.6</v>
      </c>
      <c r="T218" s="1">
        <v>5.77</v>
      </c>
      <c r="U218" s="1">
        <v>18.350000000000001</v>
      </c>
      <c r="V218" s="1" t="s">
        <v>279</v>
      </c>
    </row>
    <row r="219" spans="1:23">
      <c r="B219" s="1" t="s">
        <v>409</v>
      </c>
      <c r="C219" s="1">
        <v>4.5799999999999999E-3</v>
      </c>
      <c r="D219" s="108">
        <f t="shared" si="12"/>
        <v>0.66427404000000001</v>
      </c>
      <c r="E219" s="1">
        <v>1461.7</v>
      </c>
      <c r="F219" s="1">
        <f t="shared" si="13"/>
        <v>0.30735185640521268</v>
      </c>
      <c r="G219" s="1">
        <v>3.2536</v>
      </c>
      <c r="H219" s="1">
        <v>80.48</v>
      </c>
      <c r="I219" s="1">
        <v>306.85000000000002</v>
      </c>
      <c r="J219" s="1">
        <v>0.46689999999999998</v>
      </c>
      <c r="K219" s="1">
        <v>1.7377</v>
      </c>
      <c r="L219" s="1">
        <v>1.21</v>
      </c>
      <c r="M219" s="1">
        <v>0.63100000000000001</v>
      </c>
      <c r="N219" s="1">
        <v>1.1619999999999999</v>
      </c>
      <c r="O219" s="1">
        <v>1000</v>
      </c>
      <c r="P219" s="1">
        <v>131.19999999999999</v>
      </c>
      <c r="Q219" s="1">
        <v>784.2</v>
      </c>
      <c r="R219" s="1">
        <v>7.29</v>
      </c>
      <c r="S219" s="1">
        <v>121.7</v>
      </c>
      <c r="T219" s="1">
        <v>6.06</v>
      </c>
      <c r="U219" s="1">
        <v>17.88</v>
      </c>
      <c r="V219" s="1" t="s">
        <v>409</v>
      </c>
    </row>
    <row r="220" spans="1:23">
      <c r="B220" s="1" t="s">
        <v>280</v>
      </c>
      <c r="C220" s="1">
        <v>6.9300000000000004E-3</v>
      </c>
      <c r="D220" s="108">
        <f t="shared" si="12"/>
        <v>1.0051133400000001</v>
      </c>
      <c r="E220" s="1">
        <v>1446.8</v>
      </c>
      <c r="F220" s="1">
        <f t="shared" si="13"/>
        <v>0.45279601539506453</v>
      </c>
      <c r="G220" s="1">
        <v>2.2084999999999999</v>
      </c>
      <c r="H220" s="1">
        <v>86.51</v>
      </c>
      <c r="I220" s="1">
        <v>309.83</v>
      </c>
      <c r="J220" s="1">
        <v>0.50029999999999997</v>
      </c>
      <c r="K220" s="1">
        <v>1.7197</v>
      </c>
      <c r="L220" s="1">
        <v>1.2050000000000001</v>
      </c>
      <c r="M220" s="1">
        <v>0.64400000000000002</v>
      </c>
      <c r="N220" s="1">
        <v>1.161</v>
      </c>
      <c r="O220" s="1">
        <v>960</v>
      </c>
      <c r="P220" s="1">
        <v>132.6</v>
      </c>
      <c r="Q220" s="1">
        <v>701.5</v>
      </c>
      <c r="R220" s="1">
        <v>7.49</v>
      </c>
      <c r="S220" s="1">
        <v>118.8</v>
      </c>
      <c r="T220" s="1">
        <v>6.36</v>
      </c>
      <c r="U220" s="1">
        <v>17.41</v>
      </c>
      <c r="V220" s="1" t="s">
        <v>280</v>
      </c>
    </row>
    <row r="221" spans="1:23">
      <c r="B221" s="1" t="s">
        <v>410</v>
      </c>
      <c r="C221" s="1">
        <v>1.0189999999999999E-2</v>
      </c>
      <c r="D221" s="108">
        <f t="shared" si="12"/>
        <v>1.4779372200000001</v>
      </c>
      <c r="E221" s="1">
        <v>1431.9</v>
      </c>
      <c r="F221" s="1">
        <f t="shared" si="13"/>
        <v>0.65040650406504064</v>
      </c>
      <c r="G221" s="1">
        <v>1.5375000000000001</v>
      </c>
      <c r="H221" s="1">
        <v>92.53</v>
      </c>
      <c r="I221" s="1">
        <v>312.83</v>
      </c>
      <c r="J221" s="1">
        <v>0.53269999999999995</v>
      </c>
      <c r="K221" s="1">
        <v>1.7036</v>
      </c>
      <c r="L221" s="1">
        <v>1.2030000000000001</v>
      </c>
      <c r="M221" s="1">
        <v>0.65800000000000003</v>
      </c>
      <c r="N221" s="1">
        <v>1.159</v>
      </c>
      <c r="O221" s="1">
        <v>925</v>
      </c>
      <c r="P221" s="1">
        <v>134</v>
      </c>
      <c r="Q221" s="1">
        <v>631.9</v>
      </c>
      <c r="R221" s="1">
        <v>7.68</v>
      </c>
      <c r="S221" s="1">
        <v>116.1</v>
      </c>
      <c r="T221" s="1">
        <v>6.67</v>
      </c>
      <c r="U221" s="1">
        <v>16.920000000000002</v>
      </c>
      <c r="V221" s="1" t="s">
        <v>410</v>
      </c>
    </row>
    <row r="222" spans="1:23">
      <c r="B222" s="1" t="s">
        <v>281</v>
      </c>
      <c r="C222" s="1">
        <v>1.464E-2</v>
      </c>
      <c r="D222" s="108">
        <f t="shared" si="12"/>
        <v>2.1233563200000001</v>
      </c>
      <c r="E222" s="1">
        <v>1417.1</v>
      </c>
      <c r="F222" s="1">
        <f t="shared" si="13"/>
        <v>0.91315861565153866</v>
      </c>
      <c r="G222" s="1">
        <v>1.0951</v>
      </c>
      <c r="H222" s="1">
        <v>98.54</v>
      </c>
      <c r="I222" s="1">
        <v>315.85000000000002</v>
      </c>
      <c r="J222" s="1">
        <v>0.56420000000000003</v>
      </c>
      <c r="K222" s="1">
        <v>1.6893</v>
      </c>
      <c r="L222" s="1">
        <v>1.2030000000000001</v>
      </c>
      <c r="M222" s="1">
        <v>0.67200000000000004</v>
      </c>
      <c r="N222" s="1">
        <v>1.159</v>
      </c>
      <c r="O222" s="1">
        <v>892</v>
      </c>
      <c r="P222" s="1">
        <v>135.4</v>
      </c>
      <c r="Q222" s="1">
        <v>572.70000000000005</v>
      </c>
      <c r="R222" s="1">
        <v>7.88</v>
      </c>
      <c r="S222" s="1">
        <v>113.4</v>
      </c>
      <c r="T222" s="1">
        <v>6.99</v>
      </c>
      <c r="U222" s="1">
        <v>16.43</v>
      </c>
      <c r="V222" s="1" t="s">
        <v>281</v>
      </c>
    </row>
    <row r="223" spans="1:23">
      <c r="B223" s="1" t="s">
        <v>411</v>
      </c>
      <c r="C223" s="1">
        <v>2.0580000000000001E-2</v>
      </c>
      <c r="D223" s="108">
        <f t="shared" si="12"/>
        <v>2.9848820400000005</v>
      </c>
      <c r="E223" s="1">
        <v>1402.3</v>
      </c>
      <c r="F223" s="1">
        <f t="shared" si="13"/>
        <v>1.2556819608729501</v>
      </c>
      <c r="G223" s="1">
        <v>0.79637999999999998</v>
      </c>
      <c r="H223" s="1">
        <v>104.57</v>
      </c>
      <c r="I223" s="1">
        <v>318.88</v>
      </c>
      <c r="J223" s="1">
        <v>0.59499999999999997</v>
      </c>
      <c r="K223" s="1">
        <v>1.6766000000000001</v>
      </c>
      <c r="L223" s="1">
        <v>1.2050000000000001</v>
      </c>
      <c r="M223" s="1">
        <v>0.68600000000000005</v>
      </c>
      <c r="N223" s="1">
        <v>1.1579999999999999</v>
      </c>
      <c r="O223" s="1">
        <v>862</v>
      </c>
      <c r="P223" s="1">
        <v>136.6</v>
      </c>
      <c r="Q223" s="1">
        <v>521.70000000000005</v>
      </c>
      <c r="R223" s="1">
        <v>8.07</v>
      </c>
      <c r="S223" s="1">
        <v>110.8</v>
      </c>
      <c r="T223" s="1">
        <v>7.31</v>
      </c>
      <c r="U223" s="1">
        <v>15.92</v>
      </c>
      <c r="V223" s="1" t="s">
        <v>411</v>
      </c>
    </row>
    <row r="224" spans="1:23">
      <c r="B224" s="1" t="s">
        <v>282</v>
      </c>
      <c r="C224" s="1">
        <v>2.836E-2</v>
      </c>
      <c r="D224" s="108">
        <f t="shared" si="12"/>
        <v>4.1132776800000004</v>
      </c>
      <c r="E224" s="1">
        <v>1387.4</v>
      </c>
      <c r="F224" s="1">
        <f t="shared" si="13"/>
        <v>1.6945705958110215</v>
      </c>
      <c r="G224" s="1">
        <v>0.59011999999999998</v>
      </c>
      <c r="H224" s="1">
        <v>110.6</v>
      </c>
      <c r="I224" s="1">
        <v>321.92</v>
      </c>
      <c r="J224" s="1">
        <v>0.625</v>
      </c>
      <c r="K224" s="1">
        <v>1.6652</v>
      </c>
      <c r="L224" s="1">
        <v>1.208</v>
      </c>
      <c r="M224" s="1">
        <v>0.70099999999999996</v>
      </c>
      <c r="N224" s="1">
        <v>1.1579999999999999</v>
      </c>
      <c r="O224" s="1">
        <v>833</v>
      </c>
      <c r="P224" s="1">
        <v>137.80000000000001</v>
      </c>
      <c r="Q224" s="1">
        <v>477.4</v>
      </c>
      <c r="R224" s="1">
        <v>8.27</v>
      </c>
      <c r="S224" s="1">
        <v>108.2</v>
      </c>
      <c r="T224" s="1">
        <v>7.63</v>
      </c>
      <c r="U224" s="1">
        <v>15.4</v>
      </c>
      <c r="V224" s="1" t="s">
        <v>282</v>
      </c>
    </row>
    <row r="225" spans="2:22">
      <c r="B225" s="1" t="s">
        <v>412</v>
      </c>
      <c r="C225" s="1">
        <v>3.8370000000000001E-2</v>
      </c>
      <c r="D225" s="108">
        <f t="shared" si="12"/>
        <v>5.5651080600000009</v>
      </c>
      <c r="E225" s="1">
        <v>1372.5</v>
      </c>
      <c r="F225" s="1">
        <f t="shared" si="13"/>
        <v>2.2481003551998562</v>
      </c>
      <c r="G225" s="1">
        <v>0.44481999999999999</v>
      </c>
      <c r="H225" s="1">
        <v>116.66</v>
      </c>
      <c r="I225" s="1">
        <v>324.95999999999998</v>
      </c>
      <c r="J225" s="1">
        <v>0.65449999999999997</v>
      </c>
      <c r="K225" s="1">
        <v>1.6552</v>
      </c>
      <c r="L225" s="1">
        <v>1.2130000000000001</v>
      </c>
      <c r="M225" s="1">
        <v>0.71599999999999997</v>
      </c>
      <c r="N225" s="1">
        <v>1.159</v>
      </c>
      <c r="O225" s="1">
        <v>806</v>
      </c>
      <c r="P225" s="1">
        <v>138.9</v>
      </c>
      <c r="Q225" s="1">
        <v>438.5</v>
      </c>
      <c r="R225" s="1">
        <v>8.4600000000000009</v>
      </c>
      <c r="S225" s="1">
        <v>105.7</v>
      </c>
      <c r="T225" s="1">
        <v>7.96</v>
      </c>
      <c r="U225" s="1">
        <v>14.88</v>
      </c>
      <c r="V225" s="1" t="s">
        <v>412</v>
      </c>
    </row>
    <row r="226" spans="2:22">
      <c r="B226" s="1" t="s">
        <v>283</v>
      </c>
      <c r="C226" s="1">
        <v>5.1049999999999998E-2</v>
      </c>
      <c r="D226" s="108">
        <f t="shared" si="12"/>
        <v>7.4041899000000004</v>
      </c>
      <c r="E226" s="1">
        <v>1357.4</v>
      </c>
      <c r="F226" s="1">
        <f t="shared" si="13"/>
        <v>2.9363401456424714</v>
      </c>
      <c r="G226" s="1">
        <v>0.34055999999999997</v>
      </c>
      <c r="H226" s="1">
        <v>122.74</v>
      </c>
      <c r="I226" s="1">
        <v>328</v>
      </c>
      <c r="J226" s="1">
        <v>0.68330000000000002</v>
      </c>
      <c r="K226" s="1">
        <v>1.6463000000000001</v>
      </c>
      <c r="L226" s="1">
        <v>1.22</v>
      </c>
      <c r="M226" s="1">
        <v>0.73199999999999998</v>
      </c>
      <c r="N226" s="1">
        <v>1.1599999999999999</v>
      </c>
      <c r="O226" s="1">
        <v>779</v>
      </c>
      <c r="P226" s="1">
        <v>139.80000000000001</v>
      </c>
      <c r="Q226" s="1">
        <v>404.3</v>
      </c>
      <c r="R226" s="1">
        <v>8.65</v>
      </c>
      <c r="S226" s="1">
        <v>103.2</v>
      </c>
      <c r="T226" s="1">
        <v>8.3000000000000007</v>
      </c>
      <c r="U226" s="1">
        <v>14.34</v>
      </c>
      <c r="V226" s="1" t="s">
        <v>283</v>
      </c>
    </row>
    <row r="227" spans="2:22">
      <c r="B227" s="1" t="s">
        <v>413</v>
      </c>
      <c r="C227" s="1">
        <v>6.6879999999999995E-2</v>
      </c>
      <c r="D227" s="108">
        <f t="shared" si="12"/>
        <v>9.7001414399999994</v>
      </c>
      <c r="E227" s="1">
        <v>1342.3</v>
      </c>
      <c r="F227" s="1">
        <f t="shared" si="13"/>
        <v>3.7815761609438812</v>
      </c>
      <c r="G227" s="1">
        <v>0.26444000000000001</v>
      </c>
      <c r="H227" s="1">
        <v>128.87</v>
      </c>
      <c r="I227" s="1">
        <v>331.03</v>
      </c>
      <c r="J227" s="1">
        <v>0.71160000000000001</v>
      </c>
      <c r="K227" s="1">
        <v>1.6384000000000001</v>
      </c>
      <c r="L227" s="1">
        <v>1.2270000000000001</v>
      </c>
      <c r="M227" s="1">
        <v>0.749</v>
      </c>
      <c r="N227" s="1">
        <v>1.161</v>
      </c>
      <c r="O227" s="1">
        <v>754</v>
      </c>
      <c r="P227" s="1">
        <v>140.69999999999999</v>
      </c>
      <c r="Q227" s="1">
        <v>373.8</v>
      </c>
      <c r="R227" s="1">
        <v>8.84</v>
      </c>
      <c r="S227" s="1">
        <v>100.8</v>
      </c>
      <c r="T227" s="1">
        <v>8.65</v>
      </c>
      <c r="U227" s="1">
        <v>13.8</v>
      </c>
      <c r="V227" s="1" t="s">
        <v>413</v>
      </c>
    </row>
    <row r="228" spans="2:22">
      <c r="B228" s="1" t="s">
        <v>284</v>
      </c>
      <c r="C228" s="1">
        <v>8.6379999999999998E-2</v>
      </c>
      <c r="D228" s="108">
        <f t="shared" si="12"/>
        <v>12.528382440000001</v>
      </c>
      <c r="E228" s="1">
        <v>1326.9</v>
      </c>
      <c r="F228" s="1">
        <f t="shared" si="13"/>
        <v>4.8074611797509732</v>
      </c>
      <c r="G228" s="1">
        <v>0.20801</v>
      </c>
      <c r="H228" s="1">
        <v>135.03</v>
      </c>
      <c r="I228" s="1">
        <v>334.05</v>
      </c>
      <c r="J228" s="1">
        <v>0.73950000000000005</v>
      </c>
      <c r="K228" s="1">
        <v>1.6314</v>
      </c>
      <c r="L228" s="1">
        <v>1.2350000000000001</v>
      </c>
      <c r="M228" s="1">
        <v>0.76600000000000001</v>
      </c>
      <c r="N228" s="1">
        <v>1.1639999999999999</v>
      </c>
      <c r="O228" s="1">
        <v>729</v>
      </c>
      <c r="P228" s="1">
        <v>141.4</v>
      </c>
      <c r="Q228" s="1">
        <v>346.5</v>
      </c>
      <c r="R228" s="1">
        <v>9.02</v>
      </c>
      <c r="S228" s="1">
        <v>98.4</v>
      </c>
      <c r="T228" s="1">
        <v>9</v>
      </c>
      <c r="U228" s="1">
        <v>13.24</v>
      </c>
      <c r="V228" s="1" t="s">
        <v>284</v>
      </c>
    </row>
    <row r="229" spans="2:22">
      <c r="B229" s="1" t="s">
        <v>285</v>
      </c>
      <c r="C229" s="1">
        <v>9.5329999999999998E-2</v>
      </c>
      <c r="D229" s="108">
        <f t="shared" si="12"/>
        <v>13.826472540000001</v>
      </c>
      <c r="E229" s="1">
        <v>1320.7</v>
      </c>
      <c r="F229" s="1">
        <f t="shared" si="13"/>
        <v>5.2742616033755274</v>
      </c>
      <c r="G229" s="1">
        <v>0.18959999999999999</v>
      </c>
      <c r="H229" s="1">
        <v>137.51</v>
      </c>
      <c r="I229" s="1">
        <v>335.25</v>
      </c>
      <c r="J229" s="1">
        <v>0.75049999999999994</v>
      </c>
      <c r="K229" s="1">
        <v>1.6288</v>
      </c>
      <c r="L229" s="1">
        <v>1.2390000000000001</v>
      </c>
      <c r="M229" s="1">
        <v>0.77300000000000002</v>
      </c>
      <c r="N229" s="1">
        <v>1.165</v>
      </c>
      <c r="O229" s="1">
        <v>719</v>
      </c>
      <c r="P229" s="1">
        <v>141.6</v>
      </c>
      <c r="Q229" s="1">
        <v>336.4</v>
      </c>
      <c r="R229" s="1">
        <v>9.1</v>
      </c>
      <c r="S229" s="1">
        <v>97.4</v>
      </c>
      <c r="T229" s="1">
        <v>9.14</v>
      </c>
      <c r="U229" s="1">
        <v>13.02</v>
      </c>
      <c r="V229" s="1" t="s">
        <v>285</v>
      </c>
    </row>
    <row r="230" spans="2:22">
      <c r="B230" s="1" t="s">
        <v>414</v>
      </c>
      <c r="C230" s="1">
        <v>0.10131999999999999</v>
      </c>
      <c r="D230" s="108">
        <f t="shared" si="12"/>
        <v>14.695250160000001</v>
      </c>
      <c r="E230" s="1">
        <v>1316.8</v>
      </c>
      <c r="F230" s="1">
        <f t="shared" si="13"/>
        <v>5.5859680482627638</v>
      </c>
      <c r="G230" s="1">
        <v>0.17902000000000001</v>
      </c>
      <c r="H230" s="1">
        <v>139.07</v>
      </c>
      <c r="I230" s="1">
        <v>336.01</v>
      </c>
      <c r="J230" s="1">
        <v>0.75739999999999996</v>
      </c>
      <c r="K230" s="1">
        <v>1.6273</v>
      </c>
      <c r="L230" s="1">
        <v>1.2410000000000001</v>
      </c>
      <c r="M230" s="1">
        <v>0.77700000000000002</v>
      </c>
      <c r="N230" s="1">
        <v>1.1659999999999999</v>
      </c>
      <c r="O230" s="1">
        <v>713</v>
      </c>
      <c r="P230" s="1">
        <v>141.80000000000001</v>
      </c>
      <c r="Q230" s="1">
        <v>330.2</v>
      </c>
      <c r="R230" s="1">
        <v>9.15</v>
      </c>
      <c r="S230" s="1">
        <v>96.8</v>
      </c>
      <c r="T230" s="1">
        <v>9.23</v>
      </c>
      <c r="U230" s="1">
        <v>12.88</v>
      </c>
      <c r="V230" s="1" t="s">
        <v>415</v>
      </c>
    </row>
    <row r="231" spans="2:22">
      <c r="B231" s="1" t="s">
        <v>286</v>
      </c>
      <c r="C231" s="1">
        <v>0.10499</v>
      </c>
      <c r="D231" s="108">
        <f t="shared" si="12"/>
        <v>15.227539620000002</v>
      </c>
      <c r="E231" s="1">
        <v>1314.5</v>
      </c>
      <c r="F231" s="1">
        <f t="shared" si="13"/>
        <v>5.7760064691272452</v>
      </c>
      <c r="G231" s="1">
        <v>0.17313000000000001</v>
      </c>
      <c r="H231" s="1">
        <v>139.99</v>
      </c>
      <c r="I231" s="1">
        <v>336.45</v>
      </c>
      <c r="J231" s="1">
        <v>0.76149999999999995</v>
      </c>
      <c r="K231" s="1">
        <v>1.6264000000000001</v>
      </c>
      <c r="L231" s="1">
        <v>1.2430000000000001</v>
      </c>
      <c r="M231" s="1">
        <v>0.78</v>
      </c>
      <c r="N231" s="1">
        <v>1.1659999999999999</v>
      </c>
      <c r="O231" s="1">
        <v>709</v>
      </c>
      <c r="P231" s="1">
        <v>141.9</v>
      </c>
      <c r="Q231" s="1">
        <v>326.7</v>
      </c>
      <c r="R231" s="1">
        <v>9.17</v>
      </c>
      <c r="S231" s="1">
        <v>96.5</v>
      </c>
      <c r="T231" s="1">
        <v>9.2799999999999994</v>
      </c>
      <c r="U231" s="1">
        <v>12.8</v>
      </c>
      <c r="V231" s="1" t="s">
        <v>286</v>
      </c>
    </row>
    <row r="232" spans="2:22">
      <c r="B232" s="1" t="s">
        <v>287</v>
      </c>
      <c r="C232" s="1">
        <v>0.11541</v>
      </c>
      <c r="D232" s="108">
        <f t="shared" si="12"/>
        <v>16.73883558</v>
      </c>
      <c r="E232" s="1">
        <v>1308.2</v>
      </c>
      <c r="F232" s="1">
        <f t="shared" si="13"/>
        <v>6.3147259408941654</v>
      </c>
      <c r="G232" s="1">
        <v>0.15836</v>
      </c>
      <c r="H232" s="1">
        <v>142.47999999999999</v>
      </c>
      <c r="I232" s="1">
        <v>337.65</v>
      </c>
      <c r="J232" s="1">
        <v>0.77239999999999998</v>
      </c>
      <c r="K232" s="1">
        <v>1.6241000000000001</v>
      </c>
      <c r="L232" s="1">
        <v>1.2470000000000001</v>
      </c>
      <c r="M232" s="1">
        <v>0.78700000000000003</v>
      </c>
      <c r="N232" s="1">
        <v>1.167</v>
      </c>
      <c r="O232" s="1">
        <v>699</v>
      </c>
      <c r="P232" s="1">
        <v>142.1</v>
      </c>
      <c r="Q232" s="1">
        <v>317.39999999999998</v>
      </c>
      <c r="R232" s="1">
        <v>9.25</v>
      </c>
      <c r="S232" s="1">
        <v>95.5</v>
      </c>
      <c r="T232" s="1">
        <v>9.42</v>
      </c>
      <c r="U232" s="1">
        <v>12.57</v>
      </c>
      <c r="V232" s="1" t="s">
        <v>287</v>
      </c>
    </row>
    <row r="233" spans="2:22">
      <c r="B233" s="1" t="s">
        <v>288</v>
      </c>
      <c r="C233" s="1">
        <v>0.12662000000000001</v>
      </c>
      <c r="D233" s="108">
        <f t="shared" si="12"/>
        <v>18.364711560000003</v>
      </c>
      <c r="E233" s="1">
        <v>1301.9000000000001</v>
      </c>
      <c r="F233" s="1">
        <f t="shared" si="13"/>
        <v>6.8917987594762229</v>
      </c>
      <c r="G233" s="1">
        <v>0.14510000000000001</v>
      </c>
      <c r="H233" s="1">
        <v>144.99</v>
      </c>
      <c r="I233" s="1">
        <v>338.84</v>
      </c>
      <c r="J233" s="1">
        <v>0.78320000000000001</v>
      </c>
      <c r="K233" s="1">
        <v>1.6218999999999999</v>
      </c>
      <c r="L233" s="1">
        <v>1.2509999999999999</v>
      </c>
      <c r="M233" s="1">
        <v>0.79500000000000004</v>
      </c>
      <c r="N233" s="1">
        <v>1.169</v>
      </c>
      <c r="O233" s="1">
        <v>690</v>
      </c>
      <c r="P233" s="1">
        <v>142.30000000000001</v>
      </c>
      <c r="Q233" s="1">
        <v>308.39999999999998</v>
      </c>
      <c r="R233" s="1">
        <v>9.32</v>
      </c>
      <c r="S233" s="1">
        <v>94.6</v>
      </c>
      <c r="T233" s="1">
        <v>9.57</v>
      </c>
      <c r="U233" s="1">
        <v>12.34</v>
      </c>
      <c r="V233" s="1" t="s">
        <v>288</v>
      </c>
    </row>
    <row r="234" spans="2:22">
      <c r="B234" s="1" t="s">
        <v>290</v>
      </c>
      <c r="C234" s="1">
        <v>0.13866999999999999</v>
      </c>
      <c r="D234" s="108">
        <f t="shared" si="12"/>
        <v>20.112419459999998</v>
      </c>
      <c r="E234" s="1">
        <v>1295.5999999999999</v>
      </c>
      <c r="F234" s="1">
        <f t="shared" si="13"/>
        <v>7.5091987684914017</v>
      </c>
      <c r="G234" s="1">
        <v>0.13317000000000001</v>
      </c>
      <c r="H234" s="1">
        <v>147.49</v>
      </c>
      <c r="I234" s="1">
        <v>340.03</v>
      </c>
      <c r="J234" s="1">
        <v>0.79400000000000004</v>
      </c>
      <c r="K234" s="1">
        <v>1.6197999999999999</v>
      </c>
      <c r="L234" s="1">
        <v>1.2549999999999999</v>
      </c>
      <c r="M234" s="1">
        <v>0.80300000000000005</v>
      </c>
      <c r="N234" s="1">
        <v>1.17</v>
      </c>
      <c r="O234" s="1">
        <v>680</v>
      </c>
      <c r="P234" s="1">
        <v>142.5</v>
      </c>
      <c r="Q234" s="1">
        <v>299.8</v>
      </c>
      <c r="R234" s="1">
        <v>9.4</v>
      </c>
      <c r="S234" s="1">
        <v>93.7</v>
      </c>
      <c r="T234" s="1">
        <v>9.7100000000000009</v>
      </c>
      <c r="U234" s="1">
        <v>12.12</v>
      </c>
      <c r="V234" s="1" t="s">
        <v>290</v>
      </c>
    </row>
    <row r="235" spans="2:22">
      <c r="B235" s="1" t="s">
        <v>291</v>
      </c>
      <c r="C235" s="1">
        <v>0.15159</v>
      </c>
      <c r="D235" s="108">
        <f t="shared" si="12"/>
        <v>21.986310420000002</v>
      </c>
      <c r="E235" s="1">
        <v>1289.2</v>
      </c>
      <c r="F235" s="1">
        <f t="shared" si="13"/>
        <v>8.169934640522877</v>
      </c>
      <c r="G235" s="1">
        <v>0.12239999999999999</v>
      </c>
      <c r="H235" s="1">
        <v>150.01</v>
      </c>
      <c r="I235" s="1">
        <v>341.21</v>
      </c>
      <c r="J235" s="1">
        <v>0.80469999999999997</v>
      </c>
      <c r="K235" s="1">
        <v>1.6177999999999999</v>
      </c>
      <c r="L235" s="1">
        <v>1.2589999999999999</v>
      </c>
      <c r="M235" s="1">
        <v>0.81</v>
      </c>
      <c r="N235" s="1">
        <v>1.1719999999999999</v>
      </c>
      <c r="O235" s="1">
        <v>670</v>
      </c>
      <c r="P235" s="1">
        <v>142.6</v>
      </c>
      <c r="Q235" s="1">
        <v>291.39999999999998</v>
      </c>
      <c r="R235" s="1">
        <v>9.4700000000000006</v>
      </c>
      <c r="S235" s="1">
        <v>92.7</v>
      </c>
      <c r="T235" s="1">
        <v>9.86</v>
      </c>
      <c r="U235" s="1">
        <v>11.89</v>
      </c>
      <c r="V235" s="1" t="s">
        <v>291</v>
      </c>
    </row>
    <row r="236" spans="2:22">
      <c r="B236" s="1" t="s">
        <v>292</v>
      </c>
      <c r="C236" s="1">
        <v>0.16542000000000001</v>
      </c>
      <c r="D236" s="108">
        <f t="shared" si="12"/>
        <v>23.992185960000004</v>
      </c>
      <c r="E236" s="1">
        <v>1282.8</v>
      </c>
      <c r="F236" s="1">
        <f t="shared" si="13"/>
        <v>8.8746893858714948</v>
      </c>
      <c r="G236" s="1">
        <v>0.11268</v>
      </c>
      <c r="H236" s="1">
        <v>152.54</v>
      </c>
      <c r="I236" s="1">
        <v>342.38</v>
      </c>
      <c r="J236" s="1">
        <v>0.81530000000000002</v>
      </c>
      <c r="K236" s="1">
        <v>1.6158999999999999</v>
      </c>
      <c r="L236" s="1">
        <v>1.264</v>
      </c>
      <c r="M236" s="1">
        <v>0.81799999999999995</v>
      </c>
      <c r="N236" s="1">
        <v>1.1739999999999999</v>
      </c>
      <c r="O236" s="1">
        <v>661</v>
      </c>
      <c r="P236" s="1">
        <v>142.69999999999999</v>
      </c>
      <c r="Q236" s="1">
        <v>283.39999999999998</v>
      </c>
      <c r="R236" s="1">
        <v>9.5500000000000007</v>
      </c>
      <c r="S236" s="1">
        <v>91.8</v>
      </c>
      <c r="T236" s="1">
        <v>10.01</v>
      </c>
      <c r="U236" s="1">
        <v>11.66</v>
      </c>
      <c r="V236" s="1" t="s">
        <v>292</v>
      </c>
    </row>
    <row r="237" spans="2:22">
      <c r="B237" s="1" t="s">
        <v>293</v>
      </c>
      <c r="C237" s="1">
        <v>0.18021999999999999</v>
      </c>
      <c r="D237" s="108">
        <f t="shared" si="12"/>
        <v>26.138748360000001</v>
      </c>
      <c r="E237" s="1">
        <v>1276.3</v>
      </c>
      <c r="F237" s="1">
        <f t="shared" si="13"/>
        <v>9.6264921062764728</v>
      </c>
      <c r="G237" s="1">
        <v>0.10388</v>
      </c>
      <c r="H237" s="1">
        <v>155.08000000000001</v>
      </c>
      <c r="I237" s="1">
        <v>343.55</v>
      </c>
      <c r="J237" s="1">
        <v>0.82599999999999996</v>
      </c>
      <c r="K237" s="1">
        <v>1.6141000000000001</v>
      </c>
      <c r="L237" s="1">
        <v>1.2689999999999999</v>
      </c>
      <c r="M237" s="1">
        <v>0.82599999999999996</v>
      </c>
      <c r="N237" s="1">
        <v>1.1759999999999999</v>
      </c>
      <c r="O237" s="1">
        <v>651</v>
      </c>
      <c r="P237" s="1">
        <v>142.80000000000001</v>
      </c>
      <c r="Q237" s="1">
        <v>275.7</v>
      </c>
      <c r="R237" s="1">
        <v>9.6199999999999992</v>
      </c>
      <c r="S237" s="1">
        <v>90.9</v>
      </c>
      <c r="T237" s="1">
        <v>10.16</v>
      </c>
      <c r="U237" s="1">
        <v>11.42</v>
      </c>
      <c r="V237" s="1" t="s">
        <v>293</v>
      </c>
    </row>
    <row r="238" spans="2:22">
      <c r="B238" s="1" t="s">
        <v>294</v>
      </c>
      <c r="C238" s="1">
        <v>0.19602</v>
      </c>
      <c r="D238" s="108">
        <f t="shared" si="12"/>
        <v>28.430348760000001</v>
      </c>
      <c r="E238" s="1">
        <v>1269.7</v>
      </c>
      <c r="F238" s="1">
        <f t="shared" si="13"/>
        <v>10.427528675703858</v>
      </c>
      <c r="G238" s="1">
        <v>9.5899999999999999E-2</v>
      </c>
      <c r="H238" s="1">
        <v>157.63</v>
      </c>
      <c r="I238" s="1">
        <v>344.72</v>
      </c>
      <c r="J238" s="1">
        <v>0.83650000000000002</v>
      </c>
      <c r="K238" s="1">
        <v>1.6123000000000001</v>
      </c>
      <c r="L238" s="1">
        <v>1.274</v>
      </c>
      <c r="M238" s="1">
        <v>0.83499999999999996</v>
      </c>
      <c r="N238" s="1">
        <v>1.1779999999999999</v>
      </c>
      <c r="O238" s="1">
        <v>642</v>
      </c>
      <c r="P238" s="1">
        <v>142.9</v>
      </c>
      <c r="Q238" s="1">
        <v>268.3</v>
      </c>
      <c r="R238" s="1">
        <v>9.6999999999999993</v>
      </c>
      <c r="S238" s="1">
        <v>90</v>
      </c>
      <c r="T238" s="1">
        <v>10.31</v>
      </c>
      <c r="U238" s="1">
        <v>11.19</v>
      </c>
      <c r="V238" s="1" t="s">
        <v>294</v>
      </c>
    </row>
    <row r="239" spans="2:22">
      <c r="B239" s="1" t="s">
        <v>295</v>
      </c>
      <c r="C239" s="1">
        <v>0.21287</v>
      </c>
      <c r="D239" s="108">
        <f t="shared" si="12"/>
        <v>30.874239060000004</v>
      </c>
      <c r="E239" s="1">
        <v>1263.2</v>
      </c>
      <c r="F239" s="1">
        <f t="shared" si="13"/>
        <v>11.280315848843767</v>
      </c>
      <c r="G239" s="1">
        <v>8.8650000000000007E-2</v>
      </c>
      <c r="H239" s="1">
        <v>160.18</v>
      </c>
      <c r="I239" s="1">
        <v>345.88</v>
      </c>
      <c r="J239" s="1">
        <v>0.84699999999999998</v>
      </c>
      <c r="K239" s="1">
        <v>1.6107</v>
      </c>
      <c r="L239" s="1">
        <v>1.2789999999999999</v>
      </c>
      <c r="M239" s="1">
        <v>0.84299999999999997</v>
      </c>
      <c r="N239" s="1">
        <v>1.18</v>
      </c>
      <c r="O239" s="1">
        <v>632</v>
      </c>
      <c r="P239" s="1">
        <v>142.9</v>
      </c>
      <c r="Q239" s="1">
        <v>261.10000000000002</v>
      </c>
      <c r="R239" s="1">
        <v>9.77</v>
      </c>
      <c r="S239" s="1">
        <v>89.1</v>
      </c>
      <c r="T239" s="1">
        <v>10.46</v>
      </c>
      <c r="U239" s="1">
        <v>10.96</v>
      </c>
      <c r="V239" s="1" t="s">
        <v>295</v>
      </c>
    </row>
    <row r="240" spans="2:22">
      <c r="B240" s="1" t="s">
        <v>296</v>
      </c>
      <c r="C240" s="1">
        <v>0.23080999999999999</v>
      </c>
      <c r="D240" s="108">
        <f t="shared" si="12"/>
        <v>33.476220779999998</v>
      </c>
      <c r="E240" s="1">
        <v>1256.5</v>
      </c>
      <c r="F240" s="1">
        <f t="shared" si="13"/>
        <v>12.187690432663011</v>
      </c>
      <c r="G240" s="1">
        <v>8.2049999999999998E-2</v>
      </c>
      <c r="H240" s="1">
        <v>162.75</v>
      </c>
      <c r="I240" s="1">
        <v>347.03</v>
      </c>
      <c r="J240" s="1">
        <v>0.85750000000000004</v>
      </c>
      <c r="K240" s="1">
        <v>1.6092</v>
      </c>
      <c r="L240" s="1">
        <v>1.284</v>
      </c>
      <c r="M240" s="1">
        <v>0.85199999999999998</v>
      </c>
      <c r="N240" s="1">
        <v>1.1830000000000001</v>
      </c>
      <c r="O240" s="1">
        <v>622</v>
      </c>
      <c r="P240" s="1">
        <v>143</v>
      </c>
      <c r="Q240" s="1">
        <v>254.1</v>
      </c>
      <c r="R240" s="1">
        <v>9.85</v>
      </c>
      <c r="S240" s="1">
        <v>88.2</v>
      </c>
      <c r="T240" s="1">
        <v>10.61</v>
      </c>
      <c r="U240" s="1">
        <v>10.72</v>
      </c>
      <c r="V240" s="1" t="s">
        <v>296</v>
      </c>
    </row>
    <row r="241" spans="2:22">
      <c r="B241" s="1" t="s">
        <v>297</v>
      </c>
      <c r="C241" s="1">
        <v>0.24989</v>
      </c>
      <c r="D241" s="108">
        <f t="shared" si="12"/>
        <v>36.243545820000001</v>
      </c>
      <c r="E241" s="1">
        <v>1249.8</v>
      </c>
      <c r="F241" s="1">
        <f t="shared" si="13"/>
        <v>13.15097317201473</v>
      </c>
      <c r="G241" s="1">
        <v>7.6039999999999996E-2</v>
      </c>
      <c r="H241" s="1">
        <v>165.33</v>
      </c>
      <c r="I241" s="1">
        <v>348.17</v>
      </c>
      <c r="J241" s="1">
        <v>0.8679</v>
      </c>
      <c r="K241" s="1">
        <v>1.6076999999999999</v>
      </c>
      <c r="L241" s="1">
        <v>1.2889999999999999</v>
      </c>
      <c r="M241" s="1">
        <v>0.86099999999999999</v>
      </c>
      <c r="N241" s="1">
        <v>1.1859999999999999</v>
      </c>
      <c r="O241" s="1">
        <v>613</v>
      </c>
      <c r="P241" s="1">
        <v>143</v>
      </c>
      <c r="Q241" s="1">
        <v>247.4</v>
      </c>
      <c r="R241" s="1">
        <v>9.93</v>
      </c>
      <c r="S241" s="1">
        <v>87.3</v>
      </c>
      <c r="T241" s="1">
        <v>10.77</v>
      </c>
      <c r="U241" s="1">
        <v>10.49</v>
      </c>
      <c r="V241" s="1" t="s">
        <v>297</v>
      </c>
    </row>
    <row r="242" spans="2:22">
      <c r="B242" s="1" t="s">
        <v>298</v>
      </c>
      <c r="C242" s="1">
        <v>0.27016000000000001</v>
      </c>
      <c r="D242" s="108">
        <f t="shared" si="12"/>
        <v>39.183466080000002</v>
      </c>
      <c r="E242" s="1">
        <v>1243.0999999999999</v>
      </c>
      <c r="F242" s="1">
        <f t="shared" si="13"/>
        <v>14.174344436569807</v>
      </c>
      <c r="G242" s="1">
        <v>7.0550000000000002E-2</v>
      </c>
      <c r="H242" s="1">
        <v>167.92</v>
      </c>
      <c r="I242" s="1">
        <v>349.3</v>
      </c>
      <c r="J242" s="1">
        <v>0.87829999999999997</v>
      </c>
      <c r="K242" s="1">
        <v>1.6063000000000001</v>
      </c>
      <c r="L242" s="1">
        <v>1.2949999999999999</v>
      </c>
      <c r="M242" s="1">
        <v>0.87</v>
      </c>
      <c r="N242" s="1">
        <v>1.1879999999999999</v>
      </c>
      <c r="O242" s="1">
        <v>603</v>
      </c>
      <c r="P242" s="1">
        <v>142.9</v>
      </c>
      <c r="Q242" s="1">
        <v>240.9</v>
      </c>
      <c r="R242" s="1">
        <v>10</v>
      </c>
      <c r="S242" s="1">
        <v>86.5</v>
      </c>
      <c r="T242" s="1">
        <v>10.93</v>
      </c>
      <c r="U242" s="1">
        <v>10.25</v>
      </c>
      <c r="V242" s="1" t="s">
        <v>298</v>
      </c>
    </row>
    <row r="243" spans="2:22">
      <c r="B243" s="1" t="s">
        <v>299</v>
      </c>
      <c r="C243" s="1">
        <v>0.29166999999999998</v>
      </c>
      <c r="D243" s="108">
        <f t="shared" si="12"/>
        <v>42.303233460000001</v>
      </c>
      <c r="E243" s="1">
        <v>1236.3</v>
      </c>
      <c r="F243" s="1">
        <f t="shared" si="13"/>
        <v>15.260186174271325</v>
      </c>
      <c r="G243" s="1">
        <v>6.5530000000000005E-2</v>
      </c>
      <c r="H243" s="1">
        <v>170.52</v>
      </c>
      <c r="I243" s="1">
        <v>350.43</v>
      </c>
      <c r="J243" s="1">
        <v>0.88859999999999995</v>
      </c>
      <c r="K243" s="1">
        <v>1.6049</v>
      </c>
      <c r="L243" s="1">
        <v>1.3009999999999999</v>
      </c>
      <c r="M243" s="1">
        <v>0.879</v>
      </c>
      <c r="N243" s="1">
        <v>1.1910000000000001</v>
      </c>
      <c r="O243" s="1">
        <v>594</v>
      </c>
      <c r="P243" s="1">
        <v>142.9</v>
      </c>
      <c r="Q243" s="1">
        <v>234.5</v>
      </c>
      <c r="R243" s="1">
        <v>10.08</v>
      </c>
      <c r="S243" s="1">
        <v>85.6</v>
      </c>
      <c r="T243" s="1">
        <v>11.08</v>
      </c>
      <c r="U243" s="1">
        <v>10.02</v>
      </c>
      <c r="V243" s="1" t="s">
        <v>299</v>
      </c>
    </row>
    <row r="244" spans="2:22">
      <c r="B244" s="1" t="s">
        <v>300</v>
      </c>
      <c r="C244" s="1">
        <v>0.31446000000000002</v>
      </c>
      <c r="D244" s="108">
        <f t="shared" si="12"/>
        <v>45.608649480000004</v>
      </c>
      <c r="E244" s="1">
        <v>1229.4000000000001</v>
      </c>
      <c r="F244" s="1">
        <f t="shared" si="13"/>
        <v>16.409583196586805</v>
      </c>
      <c r="G244" s="1">
        <v>6.0940000000000001E-2</v>
      </c>
      <c r="H244" s="1">
        <v>173.13</v>
      </c>
      <c r="I244" s="1">
        <v>351.54</v>
      </c>
      <c r="J244" s="1">
        <v>0.89890000000000003</v>
      </c>
      <c r="K244" s="1">
        <v>1.6036999999999999</v>
      </c>
      <c r="L244" s="1">
        <v>1.3069999999999999</v>
      </c>
      <c r="M244" s="1">
        <v>0.88800000000000001</v>
      </c>
      <c r="N244" s="1">
        <v>1.1950000000000001</v>
      </c>
      <c r="O244" s="1">
        <v>584</v>
      </c>
      <c r="P244" s="1">
        <v>142.80000000000001</v>
      </c>
      <c r="Q244" s="1">
        <v>228.4</v>
      </c>
      <c r="R244" s="1">
        <v>10.15</v>
      </c>
      <c r="S244" s="1">
        <v>84.7</v>
      </c>
      <c r="T244" s="1">
        <v>11.24</v>
      </c>
      <c r="U244" s="1">
        <v>9.7799999999999994</v>
      </c>
      <c r="V244" s="1" t="s">
        <v>300</v>
      </c>
    </row>
    <row r="245" spans="2:22">
      <c r="B245" s="1" t="s">
        <v>301</v>
      </c>
      <c r="C245" s="1">
        <v>0.33857999999999999</v>
      </c>
      <c r="D245" s="108">
        <f t="shared" si="12"/>
        <v>49.106966040000003</v>
      </c>
      <c r="E245" s="1">
        <v>1222.5</v>
      </c>
      <c r="F245" s="1">
        <f t="shared" si="13"/>
        <v>17.627357659086901</v>
      </c>
      <c r="G245" s="1">
        <v>5.6730000000000003E-2</v>
      </c>
      <c r="H245" s="1">
        <v>175.76</v>
      </c>
      <c r="I245" s="1">
        <v>352.65</v>
      </c>
      <c r="J245" s="1">
        <v>0.90910000000000002</v>
      </c>
      <c r="K245" s="1">
        <v>1.6024</v>
      </c>
      <c r="L245" s="1">
        <v>1.3129999999999999</v>
      </c>
      <c r="M245" s="1">
        <v>0.89800000000000002</v>
      </c>
      <c r="N245" s="1">
        <v>1.198</v>
      </c>
      <c r="O245" s="1">
        <v>575</v>
      </c>
      <c r="P245" s="1">
        <v>142.69999999999999</v>
      </c>
      <c r="Q245" s="1">
        <v>222.5</v>
      </c>
      <c r="R245" s="1">
        <v>10.23</v>
      </c>
      <c r="S245" s="1">
        <v>83.8</v>
      </c>
      <c r="T245" s="1">
        <v>11.4</v>
      </c>
      <c r="U245" s="1">
        <v>9.5399999999999991</v>
      </c>
      <c r="V245" s="1" t="s">
        <v>301</v>
      </c>
    </row>
    <row r="246" spans="2:22">
      <c r="B246" s="1" t="s">
        <v>302</v>
      </c>
      <c r="C246" s="1">
        <v>0.36408000000000001</v>
      </c>
      <c r="D246" s="108">
        <f t="shared" si="12"/>
        <v>52.805435040000006</v>
      </c>
      <c r="E246" s="1">
        <v>1215.4000000000001</v>
      </c>
      <c r="F246" s="1">
        <f t="shared" si="13"/>
        <v>18.917896329928112</v>
      </c>
      <c r="G246" s="1">
        <v>5.2859999999999997E-2</v>
      </c>
      <c r="H246" s="1">
        <v>178.39</v>
      </c>
      <c r="I246" s="1">
        <v>353.75</v>
      </c>
      <c r="J246" s="1">
        <v>0.91930000000000001</v>
      </c>
      <c r="K246" s="1">
        <v>1.6012999999999999</v>
      </c>
      <c r="L246" s="1">
        <v>1.319</v>
      </c>
      <c r="M246" s="1">
        <v>0.90800000000000003</v>
      </c>
      <c r="N246" s="1">
        <v>1.202</v>
      </c>
      <c r="O246" s="1">
        <v>566</v>
      </c>
      <c r="P246" s="1">
        <v>142.5</v>
      </c>
      <c r="Q246" s="1">
        <v>216.8</v>
      </c>
      <c r="R246" s="1">
        <v>10.31</v>
      </c>
      <c r="S246" s="1">
        <v>83</v>
      </c>
      <c r="T246" s="1">
        <v>11.56</v>
      </c>
      <c r="U246" s="1">
        <v>9.3000000000000007</v>
      </c>
      <c r="V246" s="1" t="s">
        <v>302</v>
      </c>
    </row>
    <row r="247" spans="2:22">
      <c r="B247" s="1" t="s">
        <v>303</v>
      </c>
      <c r="C247" s="1">
        <v>0.39101999999999998</v>
      </c>
      <c r="D247" s="108">
        <f t="shared" si="12"/>
        <v>56.71275876</v>
      </c>
      <c r="E247" s="1">
        <v>1208.4000000000001</v>
      </c>
      <c r="F247" s="1">
        <f t="shared" si="13"/>
        <v>20.279862096937741</v>
      </c>
      <c r="G247" s="1">
        <v>4.931E-2</v>
      </c>
      <c r="H247" s="1">
        <v>181.04</v>
      </c>
      <c r="I247" s="1">
        <v>354.83</v>
      </c>
      <c r="J247" s="1">
        <v>0.92949999999999999</v>
      </c>
      <c r="K247" s="1">
        <v>1.6001000000000001</v>
      </c>
      <c r="L247" s="1">
        <v>1.3260000000000001</v>
      </c>
      <c r="M247" s="1">
        <v>0.91800000000000004</v>
      </c>
      <c r="N247" s="1">
        <v>1.206</v>
      </c>
      <c r="O247" s="1">
        <v>556</v>
      </c>
      <c r="P247" s="1">
        <v>142.30000000000001</v>
      </c>
      <c r="Q247" s="1">
        <v>211.2</v>
      </c>
      <c r="R247" s="1">
        <v>10.39</v>
      </c>
      <c r="S247" s="1">
        <v>82.1</v>
      </c>
      <c r="T247" s="1">
        <v>11.73</v>
      </c>
      <c r="U247" s="1">
        <v>9.06</v>
      </c>
      <c r="V247" s="1" t="s">
        <v>303</v>
      </c>
    </row>
    <row r="248" spans="2:22">
      <c r="B248" s="1" t="s">
        <v>304</v>
      </c>
      <c r="C248" s="1">
        <v>0.41944999999999999</v>
      </c>
      <c r="D248" s="108">
        <f t="shared" si="12"/>
        <v>60.836189100000006</v>
      </c>
      <c r="E248" s="1">
        <v>1201.2</v>
      </c>
      <c r="F248" s="1">
        <f t="shared" si="13"/>
        <v>21.724961981316532</v>
      </c>
      <c r="G248" s="1">
        <v>4.6030000000000001E-2</v>
      </c>
      <c r="H248" s="1">
        <v>183.71</v>
      </c>
      <c r="I248" s="1">
        <v>355.91</v>
      </c>
      <c r="J248" s="1">
        <v>0.93969999999999998</v>
      </c>
      <c r="K248" s="1">
        <v>1.5991</v>
      </c>
      <c r="L248" s="1">
        <v>1.333</v>
      </c>
      <c r="M248" s="1">
        <v>0.92900000000000005</v>
      </c>
      <c r="N248" s="1">
        <v>1.21</v>
      </c>
      <c r="O248" s="1">
        <v>547</v>
      </c>
      <c r="P248" s="1">
        <v>142.1</v>
      </c>
      <c r="Q248" s="1">
        <v>205.7</v>
      </c>
      <c r="R248" s="1">
        <v>10.47</v>
      </c>
      <c r="S248" s="1">
        <v>81.2</v>
      </c>
      <c r="T248" s="1">
        <v>11.89</v>
      </c>
      <c r="U248" s="1">
        <v>8.82</v>
      </c>
      <c r="V248" s="1" t="s">
        <v>304</v>
      </c>
    </row>
    <row r="249" spans="2:22">
      <c r="B249" s="1" t="s">
        <v>305</v>
      </c>
      <c r="C249" s="1">
        <v>0.44940999999999998</v>
      </c>
      <c r="D249" s="108">
        <f t="shared" si="12"/>
        <v>65.181527580000008</v>
      </c>
      <c r="E249" s="1">
        <v>1193.9000000000001</v>
      </c>
      <c r="F249" s="1">
        <f t="shared" si="13"/>
        <v>23.250406882120437</v>
      </c>
      <c r="G249" s="1">
        <v>4.301E-2</v>
      </c>
      <c r="H249" s="1">
        <v>186.39</v>
      </c>
      <c r="I249" s="1">
        <v>356.97</v>
      </c>
      <c r="J249" s="1">
        <v>0.94979999999999998</v>
      </c>
      <c r="K249" s="1">
        <v>1.5980000000000001</v>
      </c>
      <c r="L249" s="1">
        <v>1.34</v>
      </c>
      <c r="M249" s="1">
        <v>0.94</v>
      </c>
      <c r="N249" s="1">
        <v>1.214</v>
      </c>
      <c r="O249" s="1">
        <v>537</v>
      </c>
      <c r="P249" s="1">
        <v>141.9</v>
      </c>
      <c r="Q249" s="1">
        <v>200.5</v>
      </c>
      <c r="R249" s="1">
        <v>10.55</v>
      </c>
      <c r="S249" s="1">
        <v>80.400000000000006</v>
      </c>
      <c r="T249" s="1">
        <v>12.06</v>
      </c>
      <c r="U249" s="1">
        <v>8.58</v>
      </c>
      <c r="V249" s="1" t="s">
        <v>305</v>
      </c>
    </row>
    <row r="250" spans="2:22">
      <c r="B250" s="1" t="s">
        <v>306</v>
      </c>
      <c r="C250" s="1">
        <v>0.48096</v>
      </c>
      <c r="D250" s="108">
        <f t="shared" si="12"/>
        <v>69.757476480000008</v>
      </c>
      <c r="E250" s="1">
        <v>1186.5999999999999</v>
      </c>
      <c r="F250" s="1">
        <f t="shared" si="13"/>
        <v>24.857071836937607</v>
      </c>
      <c r="G250" s="1">
        <v>4.0230000000000002E-2</v>
      </c>
      <c r="H250" s="1">
        <v>189.08</v>
      </c>
      <c r="I250" s="1">
        <v>358.02</v>
      </c>
      <c r="J250" s="1">
        <v>0.95989999999999998</v>
      </c>
      <c r="K250" s="1">
        <v>1.5971</v>
      </c>
      <c r="L250" s="1">
        <v>1.3480000000000001</v>
      </c>
      <c r="M250" s="1">
        <v>0.95099999999999996</v>
      </c>
      <c r="N250" s="1">
        <v>1.2190000000000001</v>
      </c>
      <c r="O250" s="1">
        <v>528</v>
      </c>
      <c r="P250" s="1">
        <v>141.6</v>
      </c>
      <c r="Q250" s="1">
        <v>195.3</v>
      </c>
      <c r="R250" s="1">
        <v>10.63</v>
      </c>
      <c r="S250" s="1">
        <v>79.5</v>
      </c>
      <c r="T250" s="1">
        <v>12.23</v>
      </c>
      <c r="U250" s="1">
        <v>8.34</v>
      </c>
      <c r="V250" s="1" t="s">
        <v>306</v>
      </c>
    </row>
    <row r="251" spans="2:22">
      <c r="B251" s="1" t="s">
        <v>307</v>
      </c>
      <c r="C251" s="1">
        <v>0.51415999999999995</v>
      </c>
      <c r="D251" s="108">
        <f t="shared" si="12"/>
        <v>74.572738079999993</v>
      </c>
      <c r="E251" s="1">
        <v>1179.2</v>
      </c>
      <c r="F251" s="1">
        <f t="shared" si="13"/>
        <v>26.560424966799467</v>
      </c>
      <c r="G251" s="1">
        <v>3.7650000000000003E-2</v>
      </c>
      <c r="H251" s="1">
        <v>191.78</v>
      </c>
      <c r="I251" s="1">
        <v>359.06</v>
      </c>
      <c r="J251" s="1">
        <v>0.96989999999999998</v>
      </c>
      <c r="K251" s="1">
        <v>1.5961000000000001</v>
      </c>
      <c r="L251" s="1">
        <v>1.355</v>
      </c>
      <c r="M251" s="1">
        <v>0.96199999999999997</v>
      </c>
      <c r="N251" s="1">
        <v>1.224</v>
      </c>
      <c r="O251" s="1">
        <v>518</v>
      </c>
      <c r="P251" s="1">
        <v>141.30000000000001</v>
      </c>
      <c r="Q251" s="1">
        <v>190.3</v>
      </c>
      <c r="R251" s="1">
        <v>10.71</v>
      </c>
      <c r="S251" s="1">
        <v>78.7</v>
      </c>
      <c r="T251" s="1">
        <v>12.41</v>
      </c>
      <c r="U251" s="1">
        <v>8.1</v>
      </c>
      <c r="V251" s="1" t="s">
        <v>307</v>
      </c>
    </row>
    <row r="252" spans="2:22">
      <c r="B252" s="1" t="s">
        <v>308</v>
      </c>
      <c r="C252" s="1">
        <v>0.54905999999999999</v>
      </c>
      <c r="D252" s="108">
        <f t="shared" si="12"/>
        <v>79.634564280000006</v>
      </c>
      <c r="E252" s="1">
        <v>1171.7</v>
      </c>
      <c r="F252" s="1">
        <f t="shared" si="13"/>
        <v>28.35270768358378</v>
      </c>
      <c r="G252" s="1">
        <v>3.5270000000000003E-2</v>
      </c>
      <c r="H252" s="1">
        <v>194.51</v>
      </c>
      <c r="I252" s="1">
        <v>360.08</v>
      </c>
      <c r="J252" s="1">
        <v>0.98</v>
      </c>
      <c r="K252" s="1">
        <v>1.5952</v>
      </c>
      <c r="L252" s="1">
        <v>1.363</v>
      </c>
      <c r="M252" s="1">
        <v>0.97399999999999998</v>
      </c>
      <c r="N252" s="1">
        <v>1.23</v>
      </c>
      <c r="O252" s="1">
        <v>508</v>
      </c>
      <c r="P252" s="1">
        <v>141</v>
      </c>
      <c r="Q252" s="1">
        <v>185.5</v>
      </c>
      <c r="R252" s="1">
        <v>10.79</v>
      </c>
      <c r="S252" s="1">
        <v>77.8</v>
      </c>
      <c r="T252" s="1">
        <v>12.58</v>
      </c>
      <c r="U252" s="1">
        <v>7.86</v>
      </c>
      <c r="V252" s="1" t="s">
        <v>308</v>
      </c>
    </row>
    <row r="253" spans="2:22">
      <c r="B253" s="1" t="s">
        <v>309</v>
      </c>
      <c r="C253" s="1">
        <v>0.58570999999999995</v>
      </c>
      <c r="D253" s="108">
        <f t="shared" si="12"/>
        <v>84.950206980000004</v>
      </c>
      <c r="E253" s="1">
        <v>1164</v>
      </c>
      <c r="F253" s="1">
        <f t="shared" si="13"/>
        <v>30.248033877797944</v>
      </c>
      <c r="G253" s="1">
        <v>3.3059999999999999E-2</v>
      </c>
      <c r="H253" s="1">
        <v>197.25</v>
      </c>
      <c r="I253" s="1">
        <v>361.08</v>
      </c>
      <c r="J253" s="1">
        <v>0.99</v>
      </c>
      <c r="K253" s="1">
        <v>1.5943000000000001</v>
      </c>
      <c r="L253" s="1">
        <v>1.3720000000000001</v>
      </c>
      <c r="M253" s="1">
        <v>0.98699999999999999</v>
      </c>
      <c r="N253" s="1">
        <v>1.236</v>
      </c>
      <c r="O253" s="1">
        <v>499</v>
      </c>
      <c r="P253" s="1">
        <v>140.6</v>
      </c>
      <c r="Q253" s="1">
        <v>180.7</v>
      </c>
      <c r="R253" s="1">
        <v>10.88</v>
      </c>
      <c r="S253" s="1">
        <v>77</v>
      </c>
      <c r="T253" s="1">
        <v>12.76</v>
      </c>
      <c r="U253" s="1">
        <v>7.62</v>
      </c>
      <c r="V253" s="1" t="s">
        <v>309</v>
      </c>
    </row>
    <row r="254" spans="2:22">
      <c r="B254" s="1">
        <v>0</v>
      </c>
      <c r="C254" s="1">
        <v>0.62417</v>
      </c>
      <c r="D254" s="108">
        <f t="shared" si="12"/>
        <v>90.52836846000001</v>
      </c>
      <c r="E254" s="1">
        <v>1156.3</v>
      </c>
      <c r="F254" s="1">
        <f t="shared" si="13"/>
        <v>32.247662044501773</v>
      </c>
      <c r="G254" s="1">
        <v>3.1009999999999999E-2</v>
      </c>
      <c r="H254" s="1">
        <v>200</v>
      </c>
      <c r="I254" s="1">
        <v>362.07</v>
      </c>
      <c r="J254" s="1">
        <v>1</v>
      </c>
      <c r="K254" s="1">
        <v>1.5933999999999999</v>
      </c>
      <c r="L254" s="1">
        <v>1.381</v>
      </c>
      <c r="M254" s="1">
        <v>0.999</v>
      </c>
      <c r="N254" s="1">
        <v>1.242</v>
      </c>
      <c r="O254" s="1">
        <v>489</v>
      </c>
      <c r="P254" s="1">
        <v>140.19999999999999</v>
      </c>
      <c r="Q254" s="1">
        <v>176.1</v>
      </c>
      <c r="R254" s="1">
        <v>10.97</v>
      </c>
      <c r="S254" s="1">
        <v>76.2</v>
      </c>
      <c r="T254" s="1">
        <v>12.96</v>
      </c>
      <c r="U254" s="1">
        <v>7.37</v>
      </c>
      <c r="V254" s="1">
        <v>0</v>
      </c>
    </row>
    <row r="255" spans="2:22">
      <c r="B255" s="1">
        <v>2</v>
      </c>
      <c r="C255" s="1">
        <v>0.66449999999999998</v>
      </c>
      <c r="D255" s="108">
        <f t="shared" si="12"/>
        <v>96.377751000000004</v>
      </c>
      <c r="E255" s="1">
        <v>1148.5</v>
      </c>
      <c r="F255" s="1">
        <f t="shared" si="13"/>
        <v>34.364261168384878</v>
      </c>
      <c r="G255" s="1">
        <v>2.9100000000000001E-2</v>
      </c>
      <c r="H255" s="1">
        <v>202.77</v>
      </c>
      <c r="I255" s="1">
        <v>363.05</v>
      </c>
      <c r="J255" s="1">
        <v>1.01</v>
      </c>
      <c r="K255" s="1">
        <v>1.5925</v>
      </c>
      <c r="L255" s="1">
        <v>1.39</v>
      </c>
      <c r="M255" s="1">
        <v>1.012</v>
      </c>
      <c r="N255" s="1">
        <v>1.2490000000000001</v>
      </c>
      <c r="O255" s="1">
        <v>480</v>
      </c>
      <c r="P255" s="1">
        <v>139.80000000000001</v>
      </c>
      <c r="Q255" s="1">
        <v>171.6</v>
      </c>
      <c r="R255" s="1">
        <v>11.05</v>
      </c>
      <c r="S255" s="1">
        <v>75.3</v>
      </c>
      <c r="T255" s="1">
        <v>13.16</v>
      </c>
      <c r="U255" s="1">
        <v>7.13</v>
      </c>
      <c r="V255" s="1">
        <v>2</v>
      </c>
    </row>
    <row r="256" spans="2:22">
      <c r="B256" s="1">
        <v>4</v>
      </c>
      <c r="C256" s="1">
        <v>0.70676000000000005</v>
      </c>
      <c r="D256" s="108">
        <f t="shared" si="12"/>
        <v>102.50705688000002</v>
      </c>
      <c r="E256" s="1">
        <v>1140.5</v>
      </c>
      <c r="F256" s="1">
        <f t="shared" si="13"/>
        <v>36.589828027808267</v>
      </c>
      <c r="G256" s="1">
        <v>2.733E-2</v>
      </c>
      <c r="H256" s="1">
        <v>205.56</v>
      </c>
      <c r="I256" s="1">
        <v>364</v>
      </c>
      <c r="J256" s="1">
        <v>1.0199</v>
      </c>
      <c r="K256" s="1">
        <v>1.5916999999999999</v>
      </c>
      <c r="L256" s="1">
        <v>1.399</v>
      </c>
      <c r="M256" s="1">
        <v>1.026</v>
      </c>
      <c r="N256" s="1">
        <v>1.256</v>
      </c>
      <c r="O256" s="1">
        <v>470</v>
      </c>
      <c r="P256" s="1">
        <v>139.30000000000001</v>
      </c>
      <c r="Q256" s="1">
        <v>167.2</v>
      </c>
      <c r="R256" s="1">
        <v>11.14</v>
      </c>
      <c r="S256" s="1">
        <v>74.5</v>
      </c>
      <c r="T256" s="1">
        <v>13.36</v>
      </c>
      <c r="U256" s="1">
        <v>6.89</v>
      </c>
      <c r="V256" s="1">
        <v>4</v>
      </c>
    </row>
    <row r="257" spans="2:22">
      <c r="B257" s="1">
        <v>6</v>
      </c>
      <c r="C257" s="1">
        <v>0.75099000000000005</v>
      </c>
      <c r="D257" s="108">
        <f t="shared" si="12"/>
        <v>108.92208762000001</v>
      </c>
      <c r="E257" s="1">
        <v>1132.4000000000001</v>
      </c>
      <c r="F257" s="1">
        <f t="shared" si="13"/>
        <v>38.940809968847347</v>
      </c>
      <c r="G257" s="1">
        <v>2.5680000000000001E-2</v>
      </c>
      <c r="H257" s="1">
        <v>208.37</v>
      </c>
      <c r="I257" s="1">
        <v>364.94</v>
      </c>
      <c r="J257" s="1">
        <v>1.0299</v>
      </c>
      <c r="K257" s="1">
        <v>1.5908</v>
      </c>
      <c r="L257" s="1">
        <v>1.41</v>
      </c>
      <c r="M257" s="1">
        <v>1.04</v>
      </c>
      <c r="N257" s="1">
        <v>1.264</v>
      </c>
      <c r="O257" s="1">
        <v>460</v>
      </c>
      <c r="P257" s="1">
        <v>138.80000000000001</v>
      </c>
      <c r="Q257" s="1">
        <v>162.9</v>
      </c>
      <c r="R257" s="1">
        <v>11.23</v>
      </c>
      <c r="S257" s="1">
        <v>73.7</v>
      </c>
      <c r="T257" s="1">
        <v>13.57</v>
      </c>
      <c r="U257" s="1">
        <v>6.65</v>
      </c>
      <c r="V257" s="1">
        <v>6</v>
      </c>
    </row>
    <row r="258" spans="2:22">
      <c r="B258" s="1">
        <v>8</v>
      </c>
      <c r="C258" s="1">
        <v>0.79727999999999999</v>
      </c>
      <c r="D258" s="108">
        <f t="shared" si="12"/>
        <v>115.63589664000001</v>
      </c>
      <c r="E258" s="1">
        <v>1124.2</v>
      </c>
      <c r="F258" s="1">
        <f t="shared" si="13"/>
        <v>41.407867494824018</v>
      </c>
      <c r="G258" s="1">
        <v>2.4150000000000001E-2</v>
      </c>
      <c r="H258" s="1">
        <v>211.2</v>
      </c>
      <c r="I258" s="1">
        <v>365.85</v>
      </c>
      <c r="J258" s="1">
        <v>1.0398000000000001</v>
      </c>
      <c r="K258" s="1">
        <v>1.59</v>
      </c>
      <c r="L258" s="1">
        <v>1.42</v>
      </c>
      <c r="M258" s="1">
        <v>1.0549999999999999</v>
      </c>
      <c r="N258" s="1">
        <v>1.272</v>
      </c>
      <c r="O258" s="1">
        <v>451</v>
      </c>
      <c r="P258" s="1">
        <v>138.19999999999999</v>
      </c>
      <c r="Q258" s="1">
        <v>158.69999999999999</v>
      </c>
      <c r="R258" s="1">
        <v>11.33</v>
      </c>
      <c r="S258" s="1">
        <v>72.8</v>
      </c>
      <c r="T258" s="1">
        <v>13.79</v>
      </c>
      <c r="U258" s="1">
        <v>6.41</v>
      </c>
      <c r="V258" s="1">
        <v>8</v>
      </c>
    </row>
    <row r="259" spans="2:22">
      <c r="B259" s="1">
        <v>10</v>
      </c>
      <c r="C259" s="1">
        <v>0.84565999999999997</v>
      </c>
      <c r="D259" s="108">
        <f t="shared" si="12"/>
        <v>122.65283508</v>
      </c>
      <c r="E259" s="1">
        <v>1115.9000000000001</v>
      </c>
      <c r="F259" s="1">
        <f t="shared" si="13"/>
        <v>44.033465433729631</v>
      </c>
      <c r="G259" s="1">
        <v>2.2710000000000001E-2</v>
      </c>
      <c r="H259" s="1">
        <v>214.04</v>
      </c>
      <c r="I259" s="1">
        <v>366.75</v>
      </c>
      <c r="J259" s="1">
        <v>1.0498000000000001</v>
      </c>
      <c r="K259" s="1">
        <v>1.5891</v>
      </c>
      <c r="L259" s="1">
        <v>1.431</v>
      </c>
      <c r="M259" s="1">
        <v>1.071</v>
      </c>
      <c r="N259" s="1">
        <v>1.282</v>
      </c>
      <c r="O259" s="1">
        <v>441</v>
      </c>
      <c r="P259" s="1">
        <v>137.6</v>
      </c>
      <c r="Q259" s="1">
        <v>154.5</v>
      </c>
      <c r="R259" s="1">
        <v>11.43</v>
      </c>
      <c r="S259" s="1">
        <v>72</v>
      </c>
      <c r="T259" s="1">
        <v>14.01</v>
      </c>
      <c r="U259" s="1">
        <v>6.17</v>
      </c>
      <c r="V259" s="1">
        <v>10</v>
      </c>
    </row>
    <row r="260" spans="2:22">
      <c r="B260" s="1">
        <v>12</v>
      </c>
      <c r="C260" s="1">
        <v>0.89622000000000002</v>
      </c>
      <c r="D260" s="108">
        <f t="shared" si="12"/>
        <v>129.98595636000002</v>
      </c>
      <c r="E260" s="1">
        <v>1107.4000000000001</v>
      </c>
      <c r="F260" s="1">
        <f t="shared" si="13"/>
        <v>46.772684752104773</v>
      </c>
      <c r="G260" s="1">
        <v>2.138E-2</v>
      </c>
      <c r="H260" s="1">
        <v>216.91</v>
      </c>
      <c r="I260" s="1">
        <v>367.61</v>
      </c>
      <c r="J260" s="1">
        <v>1.0597000000000001</v>
      </c>
      <c r="K260" s="1">
        <v>1.5883</v>
      </c>
      <c r="L260" s="1">
        <v>1.4430000000000001</v>
      </c>
      <c r="M260" s="1">
        <v>1.0880000000000001</v>
      </c>
      <c r="N260" s="1">
        <v>1.2909999999999999</v>
      </c>
      <c r="O260" s="1">
        <v>431</v>
      </c>
      <c r="P260" s="1">
        <v>137</v>
      </c>
      <c r="Q260" s="1">
        <v>150.5</v>
      </c>
      <c r="R260" s="1">
        <v>11.52</v>
      </c>
      <c r="S260" s="1">
        <v>71.2</v>
      </c>
      <c r="T260" s="1">
        <v>14.24</v>
      </c>
      <c r="U260" s="1">
        <v>5.93</v>
      </c>
      <c r="V260" s="1">
        <v>12</v>
      </c>
    </row>
    <row r="261" spans="2:22">
      <c r="B261" s="1">
        <v>14</v>
      </c>
      <c r="C261" s="1">
        <v>0.94899999999999995</v>
      </c>
      <c r="D261" s="108">
        <f t="shared" si="12"/>
        <v>137.64106200000001</v>
      </c>
      <c r="E261" s="1">
        <v>1098.7</v>
      </c>
      <c r="F261" s="1">
        <f t="shared" si="13"/>
        <v>49.70178926441352</v>
      </c>
      <c r="G261" s="1">
        <v>2.0119999999999999E-2</v>
      </c>
      <c r="H261" s="1">
        <v>219.8</v>
      </c>
      <c r="I261" s="1">
        <v>368.46</v>
      </c>
      <c r="J261" s="1">
        <v>1.0696000000000001</v>
      </c>
      <c r="K261" s="1">
        <v>1.5873999999999999</v>
      </c>
      <c r="L261" s="1">
        <v>1.4550000000000001</v>
      </c>
      <c r="M261" s="1">
        <v>1.105</v>
      </c>
      <c r="N261" s="1">
        <v>1.302</v>
      </c>
      <c r="O261" s="1">
        <v>422</v>
      </c>
      <c r="P261" s="1">
        <v>136.30000000000001</v>
      </c>
      <c r="Q261" s="1">
        <v>146.6</v>
      </c>
      <c r="R261" s="1">
        <v>11.63</v>
      </c>
      <c r="S261" s="1">
        <v>70.400000000000006</v>
      </c>
      <c r="T261" s="1">
        <v>14.49</v>
      </c>
      <c r="U261" s="1">
        <v>5.69</v>
      </c>
      <c r="V261" s="1">
        <v>14</v>
      </c>
    </row>
    <row r="262" spans="2:22">
      <c r="B262" s="1">
        <v>16</v>
      </c>
      <c r="C262" s="1">
        <v>1.0041</v>
      </c>
      <c r="D262" s="108">
        <f t="shared" si="12"/>
        <v>145.63265580000001</v>
      </c>
      <c r="E262" s="1">
        <v>1089.9000000000001</v>
      </c>
      <c r="F262" s="1">
        <f t="shared" si="13"/>
        <v>52.770448548812659</v>
      </c>
      <c r="G262" s="1">
        <v>1.8950000000000002E-2</v>
      </c>
      <c r="H262" s="1">
        <v>222.71</v>
      </c>
      <c r="I262" s="1">
        <v>369.28</v>
      </c>
      <c r="J262" s="1">
        <v>1.0795999999999999</v>
      </c>
      <c r="K262" s="1">
        <v>1.5865</v>
      </c>
      <c r="L262" s="1">
        <v>1.468</v>
      </c>
      <c r="M262" s="1">
        <v>1.1240000000000001</v>
      </c>
      <c r="N262" s="1">
        <v>1.3140000000000001</v>
      </c>
      <c r="O262" s="1">
        <v>412</v>
      </c>
      <c r="P262" s="1">
        <v>135.6</v>
      </c>
      <c r="Q262" s="1">
        <v>142.69999999999999</v>
      </c>
      <c r="R262" s="1">
        <v>11.73</v>
      </c>
      <c r="S262" s="1">
        <v>69.599999999999994</v>
      </c>
      <c r="T262" s="1">
        <v>14.75</v>
      </c>
      <c r="U262" s="1">
        <v>5.45</v>
      </c>
      <c r="V262" s="1">
        <v>16</v>
      </c>
    </row>
    <row r="263" spans="2:22">
      <c r="B263" s="1">
        <v>18</v>
      </c>
      <c r="C263" s="1">
        <v>1.0615000000000001</v>
      </c>
      <c r="D263" s="108">
        <f t="shared" si="12"/>
        <v>153.95783700000004</v>
      </c>
      <c r="E263" s="1">
        <v>1080.9000000000001</v>
      </c>
      <c r="F263" s="1">
        <f t="shared" si="13"/>
        <v>56.022408963585427</v>
      </c>
      <c r="G263" s="1">
        <v>1.7850000000000001E-2</v>
      </c>
      <c r="H263" s="1">
        <v>225.65</v>
      </c>
      <c r="I263" s="1">
        <v>370.07</v>
      </c>
      <c r="J263" s="1">
        <v>1.0894999999999999</v>
      </c>
      <c r="K263" s="1">
        <v>1.5855999999999999</v>
      </c>
      <c r="L263" s="1">
        <v>1.482</v>
      </c>
      <c r="M263" s="1">
        <v>1.1439999999999999</v>
      </c>
      <c r="N263" s="1">
        <v>1.327</v>
      </c>
      <c r="O263" s="1">
        <v>402</v>
      </c>
      <c r="P263" s="1">
        <v>134.9</v>
      </c>
      <c r="Q263" s="1">
        <v>138.9</v>
      </c>
      <c r="R263" s="1">
        <v>11.86</v>
      </c>
      <c r="S263" s="1">
        <v>68.8</v>
      </c>
      <c r="T263" s="1">
        <v>15.01</v>
      </c>
      <c r="U263" s="1">
        <v>5.21</v>
      </c>
      <c r="V263" s="1">
        <v>18</v>
      </c>
    </row>
    <row r="264" spans="2:22">
      <c r="B264" s="1">
        <v>20</v>
      </c>
      <c r="C264" s="1">
        <v>1.1214</v>
      </c>
      <c r="D264" s="108">
        <f t="shared" si="12"/>
        <v>162.64561320000001</v>
      </c>
      <c r="E264" s="1">
        <v>1071.7</v>
      </c>
      <c r="F264" s="1">
        <f t="shared" si="13"/>
        <v>59.41770647653</v>
      </c>
      <c r="G264" s="1">
        <v>1.6830000000000001E-2</v>
      </c>
      <c r="H264" s="1">
        <v>228.61</v>
      </c>
      <c r="I264" s="1">
        <v>370.83</v>
      </c>
      <c r="J264" s="1">
        <v>1.0994999999999999</v>
      </c>
      <c r="K264" s="1">
        <v>1.5846</v>
      </c>
      <c r="L264" s="1">
        <v>1.4970000000000001</v>
      </c>
      <c r="M264" s="1">
        <v>1.165</v>
      </c>
      <c r="N264" s="1">
        <v>1.341</v>
      </c>
      <c r="O264" s="1">
        <v>392</v>
      </c>
      <c r="P264" s="1">
        <v>134.1</v>
      </c>
      <c r="Q264" s="1">
        <v>135.1</v>
      </c>
      <c r="R264" s="1">
        <v>11.97</v>
      </c>
      <c r="S264" s="1">
        <v>67.900000000000006</v>
      </c>
      <c r="T264" s="1">
        <v>15.29</v>
      </c>
      <c r="U264" s="1">
        <v>4.97</v>
      </c>
      <c r="V264" s="1">
        <v>20</v>
      </c>
    </row>
    <row r="265" spans="2:22">
      <c r="B265" s="1">
        <v>22</v>
      </c>
      <c r="C265" s="1">
        <v>1.1837</v>
      </c>
      <c r="D265" s="108">
        <f t="shared" ref="D265:D328" si="14">C265*145.038</f>
        <v>171.68148060000001</v>
      </c>
      <c r="E265" s="1">
        <v>1062.4000000000001</v>
      </c>
      <c r="F265" s="1">
        <f t="shared" ref="F265:F328" si="15">1/G265</f>
        <v>63.051702395964696</v>
      </c>
      <c r="G265" s="1">
        <v>1.5859999999999999E-2</v>
      </c>
      <c r="H265" s="1">
        <v>231.6</v>
      </c>
      <c r="I265" s="1">
        <v>371.55</v>
      </c>
      <c r="J265" s="1">
        <v>1.1093999999999999</v>
      </c>
      <c r="K265" s="1">
        <v>1.5835999999999999</v>
      </c>
      <c r="L265" s="1">
        <v>1.5129999999999999</v>
      </c>
      <c r="M265" s="1">
        <v>1.1879999999999999</v>
      </c>
      <c r="N265" s="1">
        <v>1.3560000000000001</v>
      </c>
      <c r="O265" s="1">
        <v>382</v>
      </c>
      <c r="P265" s="1">
        <v>133.19999999999999</v>
      </c>
      <c r="Q265" s="1">
        <v>131.5</v>
      </c>
      <c r="R265" s="1">
        <v>12.09</v>
      </c>
      <c r="S265" s="1">
        <v>67.099999999999994</v>
      </c>
      <c r="T265" s="1">
        <v>15.58</v>
      </c>
      <c r="U265" s="1">
        <v>4.74</v>
      </c>
      <c r="V265" s="1">
        <v>22</v>
      </c>
    </row>
    <row r="266" spans="2:22">
      <c r="B266" s="1">
        <v>24</v>
      </c>
      <c r="C266" s="1">
        <v>1.2485999999999999</v>
      </c>
      <c r="D266" s="108">
        <f t="shared" si="14"/>
        <v>181.09444680000001</v>
      </c>
      <c r="E266" s="1">
        <v>1052.8</v>
      </c>
      <c r="F266" s="1">
        <f t="shared" si="15"/>
        <v>66.889632107023417</v>
      </c>
      <c r="G266" s="1">
        <v>1.495E-2</v>
      </c>
      <c r="H266" s="1">
        <v>234.61</v>
      </c>
      <c r="I266" s="1">
        <v>372.25</v>
      </c>
      <c r="J266" s="1">
        <v>1.1194</v>
      </c>
      <c r="K266" s="1">
        <v>1.5826</v>
      </c>
      <c r="L266" s="1">
        <v>1.53</v>
      </c>
      <c r="M266" s="1">
        <v>1.212</v>
      </c>
      <c r="N266" s="1">
        <v>1.3720000000000001</v>
      </c>
      <c r="O266" s="1">
        <v>372</v>
      </c>
      <c r="P266" s="1">
        <v>132.30000000000001</v>
      </c>
      <c r="Q266" s="1">
        <v>127.9</v>
      </c>
      <c r="R266" s="1">
        <v>12.22</v>
      </c>
      <c r="S266" s="1">
        <v>66.3</v>
      </c>
      <c r="T266" s="1">
        <v>15.89</v>
      </c>
      <c r="U266" s="1">
        <v>4.5</v>
      </c>
      <c r="V266" s="1">
        <v>24</v>
      </c>
    </row>
    <row r="267" spans="2:22">
      <c r="B267" s="1">
        <v>26</v>
      </c>
      <c r="C267" s="1">
        <v>1.3161</v>
      </c>
      <c r="D267" s="108">
        <f t="shared" si="14"/>
        <v>190.88451180000001</v>
      </c>
      <c r="E267" s="1">
        <v>1043</v>
      </c>
      <c r="F267" s="1">
        <f t="shared" si="15"/>
        <v>70.921985815602838</v>
      </c>
      <c r="G267" s="1">
        <v>1.41E-2</v>
      </c>
      <c r="H267" s="1">
        <v>237.66</v>
      </c>
      <c r="I267" s="1">
        <v>372.91</v>
      </c>
      <c r="J267" s="1">
        <v>1.1294</v>
      </c>
      <c r="K267" s="1">
        <v>1.5814999999999999</v>
      </c>
      <c r="L267" s="1">
        <v>1.548</v>
      </c>
      <c r="M267" s="1">
        <v>1.2390000000000001</v>
      </c>
      <c r="N267" s="1">
        <v>1.391</v>
      </c>
      <c r="O267" s="1">
        <v>362</v>
      </c>
      <c r="P267" s="1">
        <v>131.4</v>
      </c>
      <c r="Q267" s="1">
        <v>124.3</v>
      </c>
      <c r="R267" s="1">
        <v>12.35</v>
      </c>
      <c r="S267" s="1">
        <v>65.5</v>
      </c>
      <c r="T267" s="1">
        <v>16.21</v>
      </c>
      <c r="U267" s="1">
        <v>4.2699999999999996</v>
      </c>
      <c r="V267" s="1">
        <v>26</v>
      </c>
    </row>
    <row r="268" spans="2:22">
      <c r="B268" s="1">
        <v>28</v>
      </c>
      <c r="C268" s="1">
        <v>1.3864000000000001</v>
      </c>
      <c r="D268" s="108">
        <f t="shared" si="14"/>
        <v>201.08068320000004</v>
      </c>
      <c r="E268" s="1">
        <v>1032.9000000000001</v>
      </c>
      <c r="F268" s="1">
        <f t="shared" si="15"/>
        <v>75.244544770504135</v>
      </c>
      <c r="G268" s="1">
        <v>1.329E-2</v>
      </c>
      <c r="H268" s="1">
        <v>240.73</v>
      </c>
      <c r="I268" s="1">
        <v>373.52</v>
      </c>
      <c r="J268" s="1">
        <v>1.1394</v>
      </c>
      <c r="K268" s="1">
        <v>1.5804</v>
      </c>
      <c r="L268" s="1">
        <v>1.5680000000000001</v>
      </c>
      <c r="M268" s="1">
        <v>1.268</v>
      </c>
      <c r="N268" s="1">
        <v>1.411</v>
      </c>
      <c r="O268" s="1">
        <v>352</v>
      </c>
      <c r="P268" s="1">
        <v>130.4</v>
      </c>
      <c r="Q268" s="1">
        <v>120.8</v>
      </c>
      <c r="R268" s="1">
        <v>12.48</v>
      </c>
      <c r="S268" s="1">
        <v>64.7</v>
      </c>
      <c r="T268" s="1">
        <v>16.54</v>
      </c>
      <c r="U268" s="1">
        <v>4.04</v>
      </c>
      <c r="V268" s="1">
        <v>28</v>
      </c>
    </row>
    <row r="269" spans="2:22">
      <c r="B269" s="1">
        <v>30</v>
      </c>
      <c r="C269" s="1">
        <v>1.4594</v>
      </c>
      <c r="D269" s="108">
        <f t="shared" si="14"/>
        <v>211.66845720000003</v>
      </c>
      <c r="E269" s="1">
        <v>1022.6</v>
      </c>
      <c r="F269" s="1">
        <f t="shared" si="15"/>
        <v>79.808459696727851</v>
      </c>
      <c r="G269" s="1">
        <v>1.2529999999999999E-2</v>
      </c>
      <c r="H269" s="1">
        <v>243.84</v>
      </c>
      <c r="I269" s="1">
        <v>374.1</v>
      </c>
      <c r="J269" s="1">
        <v>1.1495</v>
      </c>
      <c r="K269" s="1">
        <v>1.5791999999999999</v>
      </c>
      <c r="L269" s="1">
        <v>1.589</v>
      </c>
      <c r="M269" s="1">
        <v>1.2989999999999999</v>
      </c>
      <c r="N269" s="1">
        <v>1.4330000000000001</v>
      </c>
      <c r="O269" s="1">
        <v>341</v>
      </c>
      <c r="P269" s="1">
        <v>129.30000000000001</v>
      </c>
      <c r="Q269" s="1">
        <v>117.4</v>
      </c>
      <c r="R269" s="1">
        <v>12.62</v>
      </c>
      <c r="S269" s="1">
        <v>63.9</v>
      </c>
      <c r="T269" s="1">
        <v>16.899999999999999</v>
      </c>
      <c r="U269" s="1">
        <v>3.81</v>
      </c>
      <c r="V269" s="1">
        <v>30</v>
      </c>
    </row>
    <row r="270" spans="2:22">
      <c r="B270" s="1">
        <v>32</v>
      </c>
      <c r="C270" s="1">
        <v>1.5351999999999999</v>
      </c>
      <c r="D270" s="108">
        <f t="shared" si="14"/>
        <v>222.6623376</v>
      </c>
      <c r="E270" s="1">
        <v>1011.9</v>
      </c>
      <c r="F270" s="1">
        <f t="shared" si="15"/>
        <v>84.602368866328248</v>
      </c>
      <c r="G270" s="1">
        <v>1.1820000000000001E-2</v>
      </c>
      <c r="H270" s="1">
        <v>246.98</v>
      </c>
      <c r="I270" s="1">
        <v>374.63</v>
      </c>
      <c r="J270" s="1">
        <v>1.1595</v>
      </c>
      <c r="K270" s="1">
        <v>1.5779000000000001</v>
      </c>
      <c r="L270" s="1">
        <v>1.6120000000000001</v>
      </c>
      <c r="M270" s="1">
        <v>1.333</v>
      </c>
      <c r="N270" s="1">
        <v>1.458</v>
      </c>
      <c r="O270" s="1">
        <v>331</v>
      </c>
      <c r="P270" s="1">
        <v>128.19999999999999</v>
      </c>
      <c r="Q270" s="1">
        <v>114</v>
      </c>
      <c r="R270" s="1">
        <v>12.77</v>
      </c>
      <c r="S270" s="1">
        <v>63.1</v>
      </c>
      <c r="T270" s="1">
        <v>17.28</v>
      </c>
      <c r="U270" s="1">
        <v>3.58</v>
      </c>
      <c r="V270" s="1">
        <v>32</v>
      </c>
    </row>
    <row r="271" spans="2:22">
      <c r="B271" s="1">
        <v>34</v>
      </c>
      <c r="C271" s="1">
        <v>1.6140000000000001</v>
      </c>
      <c r="D271" s="108">
        <f t="shared" si="14"/>
        <v>234.09133200000002</v>
      </c>
      <c r="E271" s="1">
        <v>1001</v>
      </c>
      <c r="F271" s="1">
        <f t="shared" si="15"/>
        <v>89.766606822262119</v>
      </c>
      <c r="G271" s="1">
        <v>1.1140000000000001E-2</v>
      </c>
      <c r="H271" s="1">
        <v>250.16</v>
      </c>
      <c r="I271" s="1">
        <v>375.11</v>
      </c>
      <c r="J271" s="1">
        <v>1.1697</v>
      </c>
      <c r="K271" s="1">
        <v>1.5765</v>
      </c>
      <c r="L271" s="1">
        <v>1.637</v>
      </c>
      <c r="M271" s="1">
        <v>1.371</v>
      </c>
      <c r="N271" s="1">
        <v>1.4850000000000001</v>
      </c>
      <c r="O271" s="1">
        <v>321</v>
      </c>
      <c r="P271" s="1">
        <v>127.1</v>
      </c>
      <c r="Q271" s="1">
        <v>110.6</v>
      </c>
      <c r="R271" s="1">
        <v>12.93</v>
      </c>
      <c r="S271" s="1">
        <v>62.2</v>
      </c>
      <c r="T271" s="1">
        <v>17.68</v>
      </c>
      <c r="U271" s="1">
        <v>3.35</v>
      </c>
      <c r="V271" s="1">
        <v>34</v>
      </c>
    </row>
    <row r="272" spans="2:22">
      <c r="B272" s="1">
        <v>36</v>
      </c>
      <c r="C272" s="1">
        <v>1.6958</v>
      </c>
      <c r="D272" s="108">
        <f t="shared" si="14"/>
        <v>245.95544040000001</v>
      </c>
      <c r="E272" s="1">
        <v>989.7</v>
      </c>
      <c r="F272" s="1">
        <f t="shared" si="15"/>
        <v>95.238095238095227</v>
      </c>
      <c r="G272" s="1">
        <v>1.0500000000000001E-2</v>
      </c>
      <c r="H272" s="1">
        <v>253.39</v>
      </c>
      <c r="I272" s="1">
        <v>375.54</v>
      </c>
      <c r="J272" s="1">
        <v>1.1798999999999999</v>
      </c>
      <c r="K272" s="1">
        <v>1.575</v>
      </c>
      <c r="L272" s="1">
        <v>1.6639999999999999</v>
      </c>
      <c r="M272" s="1">
        <v>1.413</v>
      </c>
      <c r="N272" s="1">
        <v>1.516</v>
      </c>
      <c r="O272" s="1">
        <v>310</v>
      </c>
      <c r="P272" s="1">
        <v>125.9</v>
      </c>
      <c r="Q272" s="1">
        <v>107.3</v>
      </c>
      <c r="R272" s="1">
        <v>13.1</v>
      </c>
      <c r="S272" s="1">
        <v>61.4</v>
      </c>
      <c r="T272" s="1">
        <v>18.12</v>
      </c>
      <c r="U272" s="1">
        <v>3.12</v>
      </c>
      <c r="V272" s="1">
        <v>36</v>
      </c>
    </row>
    <row r="273" spans="2:22">
      <c r="B273" s="1">
        <v>38</v>
      </c>
      <c r="C273" s="1">
        <v>1.7806999999999999</v>
      </c>
      <c r="D273" s="108">
        <f t="shared" si="14"/>
        <v>258.26916660000001</v>
      </c>
      <c r="E273" s="1">
        <v>978.1</v>
      </c>
      <c r="F273" s="1">
        <f t="shared" si="15"/>
        <v>101.11223458038423</v>
      </c>
      <c r="G273" s="1">
        <v>9.8899999999999995E-3</v>
      </c>
      <c r="H273" s="1">
        <v>256.64999999999998</v>
      </c>
      <c r="I273" s="1">
        <v>375.91</v>
      </c>
      <c r="J273" s="1">
        <v>1.1900999999999999</v>
      </c>
      <c r="K273" s="1">
        <v>1.5733999999999999</v>
      </c>
      <c r="L273" s="1">
        <v>1.6950000000000001</v>
      </c>
      <c r="M273" s="1">
        <v>1.4590000000000001</v>
      </c>
      <c r="N273" s="1">
        <v>1.5509999999999999</v>
      </c>
      <c r="O273" s="1">
        <v>300</v>
      </c>
      <c r="P273" s="1">
        <v>124.6</v>
      </c>
      <c r="Q273" s="1">
        <v>104</v>
      </c>
      <c r="R273" s="1">
        <v>13.28</v>
      </c>
      <c r="S273" s="1">
        <v>60.6</v>
      </c>
      <c r="T273" s="1">
        <v>18.579999999999998</v>
      </c>
      <c r="U273" s="1">
        <v>2.9</v>
      </c>
      <c r="V273" s="1">
        <v>38</v>
      </c>
    </row>
    <row r="274" spans="2:22">
      <c r="B274" s="1">
        <v>40</v>
      </c>
      <c r="C274" s="1">
        <v>1.8688</v>
      </c>
      <c r="D274" s="108">
        <f t="shared" si="14"/>
        <v>271.04701440000002</v>
      </c>
      <c r="E274" s="1">
        <v>966</v>
      </c>
      <c r="F274" s="1">
        <f t="shared" si="15"/>
        <v>107.29613733905579</v>
      </c>
      <c r="G274" s="1">
        <v>9.3200000000000002E-3</v>
      </c>
      <c r="H274" s="1">
        <v>259.95999999999998</v>
      </c>
      <c r="I274" s="1">
        <v>376.22</v>
      </c>
      <c r="J274" s="1">
        <v>1.2003999999999999</v>
      </c>
      <c r="K274" s="1">
        <v>1.5717000000000001</v>
      </c>
      <c r="L274" s="1">
        <v>1.7290000000000001</v>
      </c>
      <c r="M274" s="1">
        <v>1.5109999999999999</v>
      </c>
      <c r="N274" s="1">
        <v>1.591</v>
      </c>
      <c r="O274" s="1">
        <v>289</v>
      </c>
      <c r="P274" s="1">
        <v>123.2</v>
      </c>
      <c r="Q274" s="1">
        <v>100.7</v>
      </c>
      <c r="R274" s="1">
        <v>13.47</v>
      </c>
      <c r="S274" s="1">
        <v>59.8</v>
      </c>
      <c r="T274" s="1">
        <v>19.09</v>
      </c>
      <c r="U274" s="1">
        <v>2.68</v>
      </c>
      <c r="V274" s="1">
        <v>40</v>
      </c>
    </row>
    <row r="275" spans="2:22">
      <c r="B275" s="1">
        <v>42</v>
      </c>
      <c r="C275" s="1">
        <v>1.9601999999999999</v>
      </c>
      <c r="D275" s="108">
        <f t="shared" si="14"/>
        <v>284.30348760000004</v>
      </c>
      <c r="E275" s="1">
        <v>953.5</v>
      </c>
      <c r="F275" s="1">
        <f t="shared" si="15"/>
        <v>114.02508551881414</v>
      </c>
      <c r="G275" s="1">
        <v>8.77E-3</v>
      </c>
      <c r="H275" s="1">
        <v>263.33</v>
      </c>
      <c r="I275" s="1">
        <v>376.46</v>
      </c>
      <c r="J275" s="1">
        <v>1.2108000000000001</v>
      </c>
      <c r="K275" s="1">
        <v>1.5698000000000001</v>
      </c>
      <c r="L275" s="1">
        <v>1.7669999999999999</v>
      </c>
      <c r="M275" s="1">
        <v>1.57</v>
      </c>
      <c r="N275" s="1">
        <v>1.6359999999999999</v>
      </c>
      <c r="O275" s="1">
        <v>278</v>
      </c>
      <c r="P275" s="1">
        <v>121.8</v>
      </c>
      <c r="Q275" s="1">
        <v>97.5</v>
      </c>
      <c r="R275" s="1">
        <v>13.68</v>
      </c>
      <c r="S275" s="1">
        <v>59</v>
      </c>
      <c r="T275" s="1">
        <v>19.63</v>
      </c>
      <c r="U275" s="1">
        <v>2.4700000000000002</v>
      </c>
      <c r="V275" s="1">
        <v>42</v>
      </c>
    </row>
    <row r="276" spans="2:22">
      <c r="B276" s="1">
        <v>44</v>
      </c>
      <c r="C276" s="1">
        <v>2.0548999999999999</v>
      </c>
      <c r="D276" s="108">
        <f t="shared" si="14"/>
        <v>298.0385862</v>
      </c>
      <c r="E276" s="1">
        <v>940.5</v>
      </c>
      <c r="F276" s="1">
        <f t="shared" si="15"/>
        <v>121.2121212121212</v>
      </c>
      <c r="G276" s="1">
        <v>8.2500000000000004E-3</v>
      </c>
      <c r="H276" s="1">
        <v>266.74</v>
      </c>
      <c r="I276" s="1">
        <v>376.61</v>
      </c>
      <c r="J276" s="1">
        <v>1.2213000000000001</v>
      </c>
      <c r="K276" s="1">
        <v>1.5678000000000001</v>
      </c>
      <c r="L276" s="1">
        <v>1.8109999999999999</v>
      </c>
      <c r="M276" s="1">
        <v>1.6379999999999999</v>
      </c>
      <c r="N276" s="1">
        <v>1.6890000000000001</v>
      </c>
      <c r="O276" s="1">
        <v>267</v>
      </c>
      <c r="P276" s="1">
        <v>120.4</v>
      </c>
      <c r="Q276" s="1">
        <v>94.3</v>
      </c>
      <c r="R276" s="1">
        <v>13.9</v>
      </c>
      <c r="S276" s="1">
        <v>58.1</v>
      </c>
      <c r="T276" s="1">
        <v>20.23</v>
      </c>
      <c r="U276" s="1">
        <v>2.25</v>
      </c>
      <c r="V276" s="1">
        <v>44</v>
      </c>
    </row>
    <row r="277" spans="2:22">
      <c r="B277" s="1">
        <v>46</v>
      </c>
      <c r="C277" s="1">
        <v>2.1530999999999998</v>
      </c>
      <c r="D277" s="108">
        <f t="shared" si="14"/>
        <v>312.28131780000001</v>
      </c>
      <c r="E277" s="1">
        <v>926.9</v>
      </c>
      <c r="F277" s="1">
        <f t="shared" si="15"/>
        <v>128.86597938144328</v>
      </c>
      <c r="G277" s="1">
        <v>7.7600000000000004E-3</v>
      </c>
      <c r="H277" s="1">
        <v>270.23</v>
      </c>
      <c r="I277" s="1">
        <v>376.68</v>
      </c>
      <c r="J277" s="1">
        <v>1.232</v>
      </c>
      <c r="K277" s="1">
        <v>1.5654999999999999</v>
      </c>
      <c r="L277" s="1">
        <v>1.86</v>
      </c>
      <c r="M277" s="1">
        <v>1.716</v>
      </c>
      <c r="N277" s="1">
        <v>1.75</v>
      </c>
      <c r="O277" s="1">
        <v>256</v>
      </c>
      <c r="P277" s="1">
        <v>118.8</v>
      </c>
      <c r="Q277" s="1">
        <v>91</v>
      </c>
      <c r="R277" s="1">
        <v>14.14</v>
      </c>
      <c r="S277" s="1">
        <v>57.3</v>
      </c>
      <c r="T277" s="1">
        <v>20.89</v>
      </c>
      <c r="U277" s="1">
        <v>2.04</v>
      </c>
      <c r="V277" s="1">
        <v>46</v>
      </c>
    </row>
    <row r="278" spans="2:22">
      <c r="B278" s="1">
        <v>48</v>
      </c>
      <c r="C278" s="1">
        <v>2.2547999999999999</v>
      </c>
      <c r="D278" s="108">
        <f t="shared" si="14"/>
        <v>327.03168240000002</v>
      </c>
      <c r="E278" s="1">
        <v>912.7</v>
      </c>
      <c r="F278" s="1">
        <f t="shared" si="15"/>
        <v>137.36263736263737</v>
      </c>
      <c r="G278" s="1">
        <v>7.28E-3</v>
      </c>
      <c r="H278" s="1">
        <v>273.77999999999997</v>
      </c>
      <c r="I278" s="1">
        <v>376.66</v>
      </c>
      <c r="J278" s="1">
        <v>1.2426999999999999</v>
      </c>
      <c r="K278" s="1">
        <v>1.5630999999999999</v>
      </c>
      <c r="L278" s="1">
        <v>1.9179999999999999</v>
      </c>
      <c r="M278" s="1">
        <v>1.8069999999999999</v>
      </c>
      <c r="N278" s="1">
        <v>1.823</v>
      </c>
      <c r="O278" s="1">
        <v>245</v>
      </c>
      <c r="P278" s="1">
        <v>117.2</v>
      </c>
      <c r="Q278" s="1">
        <v>87.8</v>
      </c>
      <c r="R278" s="1">
        <v>14.41</v>
      </c>
      <c r="S278" s="1">
        <v>56.5</v>
      </c>
      <c r="T278" s="1">
        <v>21.62</v>
      </c>
      <c r="U278" s="1">
        <v>1.83</v>
      </c>
      <c r="V278" s="1">
        <v>48</v>
      </c>
    </row>
    <row r="279" spans="2:22">
      <c r="B279" s="1">
        <v>50</v>
      </c>
      <c r="C279" s="1">
        <v>2.3603000000000001</v>
      </c>
      <c r="D279" s="108">
        <f t="shared" si="14"/>
        <v>342.33319140000003</v>
      </c>
      <c r="E279" s="1">
        <v>897.7</v>
      </c>
      <c r="F279" s="1">
        <f t="shared" si="15"/>
        <v>146.41288433382138</v>
      </c>
      <c r="G279" s="1">
        <v>6.8300000000000001E-3</v>
      </c>
      <c r="H279" s="1">
        <v>277.41000000000003</v>
      </c>
      <c r="I279" s="1">
        <v>376.52</v>
      </c>
      <c r="J279" s="1">
        <v>1.2536</v>
      </c>
      <c r="K279" s="1">
        <v>1.5603</v>
      </c>
      <c r="L279" s="1">
        <v>1.9850000000000001</v>
      </c>
      <c r="M279" s="1">
        <v>1.915</v>
      </c>
      <c r="N279" s="1">
        <v>1.91</v>
      </c>
      <c r="O279" s="1">
        <v>233</v>
      </c>
      <c r="P279" s="1">
        <v>115.5</v>
      </c>
      <c r="Q279" s="1">
        <v>84.6</v>
      </c>
      <c r="R279" s="1">
        <v>14.7</v>
      </c>
      <c r="S279" s="1">
        <v>55.7</v>
      </c>
      <c r="T279" s="1">
        <v>22.43</v>
      </c>
      <c r="U279" s="1">
        <v>1.63</v>
      </c>
      <c r="V279" s="1">
        <v>50</v>
      </c>
    </row>
    <row r="280" spans="2:22">
      <c r="B280" s="1">
        <v>55</v>
      </c>
      <c r="C280" s="1">
        <v>2.6408999999999998</v>
      </c>
      <c r="D280" s="108">
        <f t="shared" si="14"/>
        <v>383.03085420000002</v>
      </c>
      <c r="E280" s="1">
        <v>856.2</v>
      </c>
      <c r="F280" s="1">
        <f t="shared" si="15"/>
        <v>173.01038062283735</v>
      </c>
      <c r="G280" s="1">
        <v>5.7800000000000004E-3</v>
      </c>
      <c r="H280" s="1">
        <v>286.91000000000003</v>
      </c>
      <c r="I280" s="1">
        <v>375.54</v>
      </c>
      <c r="J280" s="1">
        <v>1.2818000000000001</v>
      </c>
      <c r="K280" s="1">
        <v>1.5519000000000001</v>
      </c>
      <c r="L280" s="1">
        <v>2.2250000000000001</v>
      </c>
      <c r="M280" s="1">
        <v>2.3039999999999998</v>
      </c>
      <c r="N280" s="1">
        <v>2.2280000000000002</v>
      </c>
      <c r="O280" s="1">
        <v>203</v>
      </c>
      <c r="P280" s="1">
        <v>110.8</v>
      </c>
      <c r="Q280" s="1">
        <v>76.400000000000006</v>
      </c>
      <c r="R280" s="1">
        <v>15.59</v>
      </c>
      <c r="S280" s="1">
        <v>53.6</v>
      </c>
      <c r="T280" s="1">
        <v>24.98</v>
      </c>
      <c r="U280" s="1">
        <v>1.1499999999999999</v>
      </c>
      <c r="V280" s="1">
        <v>55</v>
      </c>
    </row>
    <row r="281" spans="2:22">
      <c r="B281" s="1">
        <v>60</v>
      </c>
      <c r="C281" s="1">
        <v>2.9476</v>
      </c>
      <c r="D281" s="108">
        <f t="shared" si="14"/>
        <v>427.51400880000006</v>
      </c>
      <c r="E281" s="1">
        <v>806.1</v>
      </c>
      <c r="F281" s="1">
        <f t="shared" si="15"/>
        <v>208.33333333333334</v>
      </c>
      <c r="G281" s="1">
        <v>4.7999999999999996E-3</v>
      </c>
      <c r="H281" s="1">
        <v>297.27999999999997</v>
      </c>
      <c r="I281" s="1">
        <v>373.26</v>
      </c>
      <c r="J281" s="1">
        <v>1.3120000000000001</v>
      </c>
      <c r="K281" s="1">
        <v>1.5401</v>
      </c>
      <c r="L281" s="1">
        <v>2.677</v>
      </c>
      <c r="M281" s="1">
        <v>3.06</v>
      </c>
      <c r="N281" s="1">
        <v>2.855</v>
      </c>
      <c r="O281" s="1">
        <v>171</v>
      </c>
      <c r="P281" s="1">
        <v>105.5</v>
      </c>
      <c r="Q281" s="1">
        <v>67.7</v>
      </c>
      <c r="R281" s="1">
        <v>16.86</v>
      </c>
      <c r="S281" s="1">
        <v>51.7</v>
      </c>
      <c r="T281" s="1">
        <v>28.77</v>
      </c>
      <c r="U281" s="1">
        <v>0.7</v>
      </c>
      <c r="V281" s="1">
        <v>60</v>
      </c>
    </row>
    <row r="282" spans="2:22">
      <c r="B282" s="1">
        <v>65</v>
      </c>
      <c r="C282" s="1">
        <v>3.2837999999999998</v>
      </c>
      <c r="D282" s="108">
        <f t="shared" si="14"/>
        <v>476.27578440000002</v>
      </c>
      <c r="E282" s="1">
        <v>739.1</v>
      </c>
      <c r="F282" s="1">
        <f t="shared" si="15"/>
        <v>260.41666666666669</v>
      </c>
      <c r="G282" s="1">
        <v>3.8400000000000001E-3</v>
      </c>
      <c r="H282" s="1">
        <v>309.3</v>
      </c>
      <c r="I282" s="1">
        <v>368.44</v>
      </c>
      <c r="J282" s="1">
        <v>1.3465</v>
      </c>
      <c r="K282" s="1">
        <v>1.5215000000000001</v>
      </c>
      <c r="L282" s="1">
        <v>3.94</v>
      </c>
      <c r="M282" s="1">
        <v>5.19</v>
      </c>
      <c r="N282" s="1">
        <v>4.625</v>
      </c>
      <c r="O282" s="1">
        <v>135</v>
      </c>
      <c r="P282" s="1">
        <v>99.3</v>
      </c>
      <c r="Q282" s="1">
        <v>57.9</v>
      </c>
      <c r="R282" s="1">
        <v>18.93</v>
      </c>
      <c r="S282" s="1">
        <v>50.7</v>
      </c>
      <c r="T282" s="1">
        <v>35.54</v>
      </c>
      <c r="U282" s="1">
        <v>0.31</v>
      </c>
      <c r="V282" s="1">
        <v>65</v>
      </c>
    </row>
    <row r="283" spans="2:22">
      <c r="B283" s="1">
        <v>70</v>
      </c>
      <c r="C283" s="1">
        <v>3.6556999999999999</v>
      </c>
      <c r="D283" s="108">
        <f t="shared" si="14"/>
        <v>530.21541660000003</v>
      </c>
      <c r="E283" s="1">
        <v>599.6</v>
      </c>
      <c r="F283" s="1">
        <f t="shared" si="15"/>
        <v>384.61538461538464</v>
      </c>
      <c r="G283" s="1">
        <v>2.5999999999999999E-3</v>
      </c>
      <c r="H283" s="1">
        <v>328.32</v>
      </c>
      <c r="I283" s="1">
        <v>353.47</v>
      </c>
      <c r="J283" s="1">
        <v>1.4007000000000001</v>
      </c>
      <c r="K283" s="1">
        <v>1.474</v>
      </c>
      <c r="L283" s="1">
        <v>31.96</v>
      </c>
      <c r="M283" s="1">
        <v>44.63</v>
      </c>
      <c r="N283" s="1">
        <v>36.78</v>
      </c>
      <c r="O283" s="1">
        <v>92</v>
      </c>
      <c r="P283" s="1">
        <v>90.7</v>
      </c>
      <c r="Q283" s="1">
        <v>42</v>
      </c>
      <c r="R283" s="1">
        <v>25.07</v>
      </c>
      <c r="S283" s="1">
        <v>63.2</v>
      </c>
      <c r="T283" s="1">
        <v>67.27</v>
      </c>
      <c r="U283" s="1">
        <v>0.02</v>
      </c>
      <c r="V283" s="1">
        <v>70</v>
      </c>
    </row>
    <row r="284" spans="2:22">
      <c r="B284" s="1" t="s">
        <v>416</v>
      </c>
      <c r="C284" s="1">
        <v>3.7050000000000001</v>
      </c>
      <c r="D284" s="108">
        <f t="shared" si="14"/>
        <v>537.36579000000006</v>
      </c>
      <c r="E284" s="1">
        <v>490.8</v>
      </c>
      <c r="F284" s="1">
        <f t="shared" si="15"/>
        <v>490.19607843137254</v>
      </c>
      <c r="G284" s="1">
        <v>2.0400000000000001E-3</v>
      </c>
      <c r="H284" s="1">
        <v>340.45</v>
      </c>
      <c r="I284" s="1">
        <v>340.45</v>
      </c>
      <c r="J284" s="1">
        <v>1.4358</v>
      </c>
      <c r="K284" s="1">
        <v>1.4358</v>
      </c>
      <c r="L284" s="1" t="s">
        <v>310</v>
      </c>
      <c r="M284" s="1" t="s">
        <v>310</v>
      </c>
      <c r="N284" s="1" t="s">
        <v>310</v>
      </c>
      <c r="O284" s="1">
        <v>0</v>
      </c>
      <c r="P284" s="1">
        <v>0</v>
      </c>
      <c r="Q284" s="1" t="s">
        <v>311</v>
      </c>
      <c r="R284" s="1" t="s">
        <v>311</v>
      </c>
      <c r="S284" s="1" t="s">
        <v>311</v>
      </c>
      <c r="T284" s="1" t="s">
        <v>311</v>
      </c>
      <c r="U284" s="1">
        <v>0</v>
      </c>
      <c r="V284" s="1">
        <v>70.62</v>
      </c>
    </row>
    <row r="285" spans="2:22">
      <c r="D285" s="108"/>
    </row>
    <row r="286" spans="2:22">
      <c r="D286" s="108"/>
    </row>
    <row r="287" spans="2:22">
      <c r="D287" s="108"/>
    </row>
    <row r="288" spans="2:22">
      <c r="D288" s="108"/>
    </row>
    <row r="289" spans="1:22">
      <c r="A289" t="s">
        <v>271</v>
      </c>
      <c r="D289" s="108"/>
    </row>
    <row r="290" spans="1:22">
      <c r="B290" s="1" t="s">
        <v>417</v>
      </c>
      <c r="C290" s="1">
        <v>6.0899999999999999E-3</v>
      </c>
      <c r="D290" s="108">
        <f t="shared" si="14"/>
        <v>0.88328142000000009</v>
      </c>
      <c r="E290" s="1">
        <v>732.9</v>
      </c>
      <c r="F290" s="1">
        <f t="shared" si="15"/>
        <v>6.409434687860531E-2</v>
      </c>
      <c r="G290" s="1">
        <v>15.602</v>
      </c>
      <c r="H290" s="1" t="s">
        <v>418</v>
      </c>
      <c r="I290" s="1">
        <v>1341.23</v>
      </c>
      <c r="J290" s="1" t="s">
        <v>419</v>
      </c>
      <c r="K290" s="1">
        <v>7.1212999999999997</v>
      </c>
      <c r="L290" s="1">
        <v>4.202</v>
      </c>
      <c r="M290" s="1">
        <v>2.0630000000000002</v>
      </c>
      <c r="N290" s="1">
        <v>1.325</v>
      </c>
      <c r="O290" s="1">
        <v>2124</v>
      </c>
      <c r="P290" s="1">
        <v>354.1</v>
      </c>
      <c r="Q290" s="1">
        <v>559.6</v>
      </c>
      <c r="R290" s="1">
        <v>6.84</v>
      </c>
      <c r="S290" s="1">
        <v>819</v>
      </c>
      <c r="T290" s="1">
        <v>19.64</v>
      </c>
      <c r="U290" s="1">
        <v>62.26</v>
      </c>
      <c r="V290" s="1" t="s">
        <v>420</v>
      </c>
    </row>
    <row r="291" spans="1:22">
      <c r="B291" s="1" t="s">
        <v>282</v>
      </c>
      <c r="C291" s="1">
        <v>1.094E-2</v>
      </c>
      <c r="D291" s="108">
        <f t="shared" si="14"/>
        <v>1.5867157200000002</v>
      </c>
      <c r="E291" s="1">
        <v>724.7</v>
      </c>
      <c r="F291" s="1">
        <f t="shared" si="15"/>
        <v>0.1110136657822578</v>
      </c>
      <c r="G291" s="1">
        <v>9.0078999999999994</v>
      </c>
      <c r="H291" s="1" t="s">
        <v>421</v>
      </c>
      <c r="I291" s="1">
        <v>1355.55</v>
      </c>
      <c r="J291" s="1" t="s">
        <v>422</v>
      </c>
      <c r="K291" s="1">
        <v>6.9088000000000003</v>
      </c>
      <c r="L291" s="1">
        <v>4.2450000000000001</v>
      </c>
      <c r="M291" s="1">
        <v>2.0859999999999999</v>
      </c>
      <c r="N291" s="1">
        <v>1.327</v>
      </c>
      <c r="O291" s="1">
        <v>2051</v>
      </c>
      <c r="P291" s="1">
        <v>360.5</v>
      </c>
      <c r="Q291" s="1">
        <v>475</v>
      </c>
      <c r="R291" s="1">
        <v>7.03</v>
      </c>
      <c r="S291" s="1">
        <v>792.1</v>
      </c>
      <c r="T291" s="1">
        <v>19.73</v>
      </c>
      <c r="U291" s="1">
        <v>59.1</v>
      </c>
      <c r="V291" s="1" t="s">
        <v>282</v>
      </c>
    </row>
    <row r="292" spans="1:22">
      <c r="B292" s="1" t="s">
        <v>283</v>
      </c>
      <c r="C292" s="1">
        <v>2.189E-2</v>
      </c>
      <c r="D292" s="108">
        <f t="shared" si="14"/>
        <v>3.1748818200000004</v>
      </c>
      <c r="E292" s="1">
        <v>713.6</v>
      </c>
      <c r="F292" s="1">
        <f t="shared" si="15"/>
        <v>0.21250823469409438</v>
      </c>
      <c r="G292" s="1">
        <v>4.7057000000000002</v>
      </c>
      <c r="H292" s="1" t="s">
        <v>423</v>
      </c>
      <c r="I292" s="1">
        <v>1373.73</v>
      </c>
      <c r="J292" s="1" t="s">
        <v>424</v>
      </c>
      <c r="K292" s="1">
        <v>6.6601999999999997</v>
      </c>
      <c r="L292" s="1">
        <v>4.3029999999999999</v>
      </c>
      <c r="M292" s="1">
        <v>2.125</v>
      </c>
      <c r="N292" s="1">
        <v>1.33</v>
      </c>
      <c r="O292" s="1">
        <v>1967</v>
      </c>
      <c r="P292" s="1">
        <v>368.4</v>
      </c>
      <c r="Q292" s="1">
        <v>391.3</v>
      </c>
      <c r="R292" s="1">
        <v>7.3</v>
      </c>
      <c r="S292" s="1">
        <v>757</v>
      </c>
      <c r="T292" s="1">
        <v>19.93</v>
      </c>
      <c r="U292" s="1">
        <v>55.05</v>
      </c>
      <c r="V292" s="1" t="s">
        <v>283</v>
      </c>
    </row>
    <row r="293" spans="1:22">
      <c r="B293" s="1" t="s">
        <v>284</v>
      </c>
      <c r="C293" s="1">
        <v>4.0840000000000001E-2</v>
      </c>
      <c r="D293" s="108">
        <f t="shared" si="14"/>
        <v>5.9233519200000009</v>
      </c>
      <c r="E293" s="1">
        <v>702.1</v>
      </c>
      <c r="F293" s="1">
        <f t="shared" si="15"/>
        <v>0.38056094683563574</v>
      </c>
      <c r="G293" s="1">
        <v>2.6276999999999999</v>
      </c>
      <c r="H293" s="1" t="s">
        <v>425</v>
      </c>
      <c r="I293" s="1">
        <v>1391.19</v>
      </c>
      <c r="J293" s="1">
        <v>9.4500000000000001E-2</v>
      </c>
      <c r="K293" s="1">
        <v>6.4396000000000004</v>
      </c>
      <c r="L293" s="1">
        <v>4.3600000000000003</v>
      </c>
      <c r="M293" s="1">
        <v>2.1779999999999999</v>
      </c>
      <c r="N293" s="1">
        <v>1.335</v>
      </c>
      <c r="O293" s="1">
        <v>1890</v>
      </c>
      <c r="P293" s="1">
        <v>375.6</v>
      </c>
      <c r="Q293" s="1">
        <v>328.9</v>
      </c>
      <c r="R293" s="1">
        <v>7.57</v>
      </c>
      <c r="S293" s="1">
        <v>722.3</v>
      </c>
      <c r="T293" s="1">
        <v>20.239999999999998</v>
      </c>
      <c r="U293" s="1">
        <v>51.11</v>
      </c>
      <c r="V293" s="1" t="s">
        <v>284</v>
      </c>
    </row>
    <row r="294" spans="1:22">
      <c r="B294" s="1" t="s">
        <v>290</v>
      </c>
      <c r="C294" s="1">
        <v>7.1690000000000004E-2</v>
      </c>
      <c r="D294" s="108">
        <f t="shared" si="14"/>
        <v>10.397774220000001</v>
      </c>
      <c r="E294" s="1">
        <v>690.2</v>
      </c>
      <c r="F294" s="1">
        <f t="shared" si="15"/>
        <v>0.64379063928410485</v>
      </c>
      <c r="G294" s="1">
        <v>1.5532999999999999</v>
      </c>
      <c r="H294" s="1">
        <v>19.170000000000002</v>
      </c>
      <c r="I294" s="1">
        <v>1407.76</v>
      </c>
      <c r="J294" s="1">
        <v>0.28670000000000001</v>
      </c>
      <c r="K294" s="1">
        <v>6.2424999999999997</v>
      </c>
      <c r="L294" s="1">
        <v>4.4139999999999997</v>
      </c>
      <c r="M294" s="1">
        <v>2.2440000000000002</v>
      </c>
      <c r="N294" s="1">
        <v>1.3420000000000001</v>
      </c>
      <c r="O294" s="1">
        <v>1816</v>
      </c>
      <c r="P294" s="1">
        <v>382.2</v>
      </c>
      <c r="Q294" s="1">
        <v>281.2</v>
      </c>
      <c r="R294" s="1">
        <v>7.86</v>
      </c>
      <c r="S294" s="1">
        <v>688.1</v>
      </c>
      <c r="T294" s="1">
        <v>20.64</v>
      </c>
      <c r="U294" s="1">
        <v>47.26</v>
      </c>
      <c r="V294" s="1" t="s">
        <v>290</v>
      </c>
    </row>
    <row r="295" spans="1:22">
      <c r="B295" s="1" t="s">
        <v>291</v>
      </c>
      <c r="C295" s="1">
        <v>7.9710000000000003E-2</v>
      </c>
      <c r="D295" s="108">
        <f t="shared" si="14"/>
        <v>11.560978980000002</v>
      </c>
      <c r="E295" s="1">
        <v>687.7</v>
      </c>
      <c r="F295" s="1">
        <f t="shared" si="15"/>
        <v>0.71083309638896786</v>
      </c>
      <c r="G295" s="1">
        <v>1.4068000000000001</v>
      </c>
      <c r="H295" s="1">
        <v>28.01</v>
      </c>
      <c r="I295" s="1">
        <v>1410.96</v>
      </c>
      <c r="J295" s="1">
        <v>0.32450000000000001</v>
      </c>
      <c r="K295" s="1">
        <v>6.2055999999999996</v>
      </c>
      <c r="L295" s="1">
        <v>4.4240000000000004</v>
      </c>
      <c r="M295" s="1">
        <v>2.2589999999999999</v>
      </c>
      <c r="N295" s="1">
        <v>1.343</v>
      </c>
      <c r="O295" s="1">
        <v>1802</v>
      </c>
      <c r="P295" s="1">
        <v>383.4</v>
      </c>
      <c r="Q295" s="1">
        <v>273.10000000000002</v>
      </c>
      <c r="R295" s="1">
        <v>7.92</v>
      </c>
      <c r="S295" s="1">
        <v>681.4</v>
      </c>
      <c r="T295" s="1">
        <v>20.73</v>
      </c>
      <c r="U295" s="1">
        <v>46.51</v>
      </c>
      <c r="V295" s="1" t="s">
        <v>291</v>
      </c>
    </row>
    <row r="296" spans="1:22">
      <c r="B296" s="1" t="s">
        <v>292</v>
      </c>
      <c r="C296" s="1">
        <v>8.8450000000000001E-2</v>
      </c>
      <c r="D296" s="108">
        <f t="shared" si="14"/>
        <v>12.828611100000002</v>
      </c>
      <c r="E296" s="1">
        <v>685.3</v>
      </c>
      <c r="F296" s="1">
        <f t="shared" si="15"/>
        <v>0.78339208773991387</v>
      </c>
      <c r="G296" s="1">
        <v>1.2765</v>
      </c>
      <c r="H296" s="1">
        <v>36.880000000000003</v>
      </c>
      <c r="I296" s="1">
        <v>1414.11</v>
      </c>
      <c r="J296" s="1">
        <v>0.3619</v>
      </c>
      <c r="K296" s="1">
        <v>6.1694000000000004</v>
      </c>
      <c r="L296" s="1">
        <v>4.4340000000000002</v>
      </c>
      <c r="M296" s="1">
        <v>2.2749999999999999</v>
      </c>
      <c r="N296" s="1">
        <v>1.345</v>
      </c>
      <c r="O296" s="1">
        <v>1787</v>
      </c>
      <c r="P296" s="1">
        <v>384.6</v>
      </c>
      <c r="Q296" s="1">
        <v>265.3</v>
      </c>
      <c r="R296" s="1">
        <v>7.98</v>
      </c>
      <c r="S296" s="1">
        <v>674.6</v>
      </c>
      <c r="T296" s="1">
        <v>20.83</v>
      </c>
      <c r="U296" s="1">
        <v>45.75</v>
      </c>
      <c r="V296" s="1" t="s">
        <v>292</v>
      </c>
    </row>
    <row r="297" spans="1:22">
      <c r="B297" s="1" t="s">
        <v>293</v>
      </c>
      <c r="C297" s="1">
        <v>9.7949999999999995E-2</v>
      </c>
      <c r="D297" s="108">
        <f t="shared" si="14"/>
        <v>14.206472100000001</v>
      </c>
      <c r="E297" s="1">
        <v>682.8</v>
      </c>
      <c r="F297" s="1">
        <f t="shared" si="15"/>
        <v>0.86177180282661148</v>
      </c>
      <c r="G297" s="1">
        <v>1.1604000000000001</v>
      </c>
      <c r="H297" s="1">
        <v>45.77</v>
      </c>
      <c r="I297" s="1">
        <v>1417.23</v>
      </c>
      <c r="J297" s="1">
        <v>0.3992</v>
      </c>
      <c r="K297" s="1">
        <v>6.1338999999999997</v>
      </c>
      <c r="L297" s="1">
        <v>4.444</v>
      </c>
      <c r="M297" s="1">
        <v>2.2909999999999999</v>
      </c>
      <c r="N297" s="1">
        <v>1.347</v>
      </c>
      <c r="O297" s="1">
        <v>1773</v>
      </c>
      <c r="P297" s="1">
        <v>385.8</v>
      </c>
      <c r="Q297" s="1">
        <v>257.89999999999998</v>
      </c>
      <c r="R297" s="1">
        <v>8.0299999999999994</v>
      </c>
      <c r="S297" s="1">
        <v>667.9</v>
      </c>
      <c r="T297" s="1">
        <v>20.93</v>
      </c>
      <c r="U297" s="1">
        <v>45</v>
      </c>
      <c r="V297" s="1" t="s">
        <v>293</v>
      </c>
    </row>
    <row r="298" spans="1:22">
      <c r="B298" s="1" t="s">
        <v>426</v>
      </c>
      <c r="C298" s="1">
        <v>0.10133</v>
      </c>
      <c r="D298" s="108">
        <f t="shared" si="14"/>
        <v>14.696700540000002</v>
      </c>
      <c r="E298" s="1">
        <v>682</v>
      </c>
      <c r="F298" s="1">
        <f t="shared" si="15"/>
        <v>0.88952143746664292</v>
      </c>
      <c r="G298" s="1">
        <v>1.1242000000000001</v>
      </c>
      <c r="H298" s="1">
        <v>48.76</v>
      </c>
      <c r="I298" s="1">
        <v>1418.26</v>
      </c>
      <c r="J298" s="1">
        <v>0.41170000000000001</v>
      </c>
      <c r="K298" s="1">
        <v>6.1220999999999997</v>
      </c>
      <c r="L298" s="1">
        <v>4.4480000000000004</v>
      </c>
      <c r="M298" s="1">
        <v>2.2970000000000002</v>
      </c>
      <c r="N298" s="1">
        <v>1.3480000000000001</v>
      </c>
      <c r="O298" s="1">
        <v>1768</v>
      </c>
      <c r="P298" s="1">
        <v>386.2</v>
      </c>
      <c r="Q298" s="1">
        <v>255.5</v>
      </c>
      <c r="R298" s="1">
        <v>8.0500000000000007</v>
      </c>
      <c r="S298" s="1">
        <v>665.7</v>
      </c>
      <c r="T298" s="1">
        <v>20.97</v>
      </c>
      <c r="U298" s="1">
        <v>44.75</v>
      </c>
      <c r="V298" s="1" t="s">
        <v>427</v>
      </c>
    </row>
    <row r="299" spans="1:22">
      <c r="B299" s="1" t="s">
        <v>294</v>
      </c>
      <c r="C299" s="1">
        <v>0.10826</v>
      </c>
      <c r="D299" s="108">
        <f t="shared" si="14"/>
        <v>15.701813880000001</v>
      </c>
      <c r="E299" s="1">
        <v>680.3</v>
      </c>
      <c r="F299" s="1">
        <f t="shared" si="15"/>
        <v>0.94634238667549919</v>
      </c>
      <c r="G299" s="1">
        <v>1.0567</v>
      </c>
      <c r="H299" s="1">
        <v>54.67</v>
      </c>
      <c r="I299" s="1">
        <v>1420.29</v>
      </c>
      <c r="J299" s="1">
        <v>0.43619999999999998</v>
      </c>
      <c r="K299" s="1">
        <v>6.0991999999999997</v>
      </c>
      <c r="L299" s="1">
        <v>4.4550000000000001</v>
      </c>
      <c r="M299" s="1">
        <v>2.3079999999999998</v>
      </c>
      <c r="N299" s="1">
        <v>1.349</v>
      </c>
      <c r="O299" s="1">
        <v>1759</v>
      </c>
      <c r="P299" s="1">
        <v>387</v>
      </c>
      <c r="Q299" s="1">
        <v>250.8</v>
      </c>
      <c r="R299" s="1">
        <v>8.09</v>
      </c>
      <c r="S299" s="1">
        <v>661.3</v>
      </c>
      <c r="T299" s="1">
        <v>21.04</v>
      </c>
      <c r="U299" s="1">
        <v>44.26</v>
      </c>
      <c r="V299" s="1" t="s">
        <v>294</v>
      </c>
    </row>
    <row r="300" spans="1:22">
      <c r="B300" s="1" t="s">
        <v>295</v>
      </c>
      <c r="C300" s="1">
        <v>0.11942999999999999</v>
      </c>
      <c r="D300" s="108">
        <f t="shared" si="14"/>
        <v>17.321888340000001</v>
      </c>
      <c r="E300" s="1">
        <v>677.8</v>
      </c>
      <c r="F300" s="1">
        <f t="shared" si="15"/>
        <v>1.0373874434623842</v>
      </c>
      <c r="G300" s="1">
        <v>0.96396000000000004</v>
      </c>
      <c r="H300" s="1">
        <v>63.6</v>
      </c>
      <c r="I300" s="1">
        <v>1423.31</v>
      </c>
      <c r="J300" s="1">
        <v>0.47299999999999998</v>
      </c>
      <c r="K300" s="1">
        <v>6.0651000000000002</v>
      </c>
      <c r="L300" s="1">
        <v>4.4649999999999999</v>
      </c>
      <c r="M300" s="1">
        <v>2.3260000000000001</v>
      </c>
      <c r="N300" s="1">
        <v>1.351</v>
      </c>
      <c r="O300" s="1">
        <v>1744</v>
      </c>
      <c r="P300" s="1">
        <v>388.1</v>
      </c>
      <c r="Q300" s="1">
        <v>244.1</v>
      </c>
      <c r="R300" s="1">
        <v>8.15</v>
      </c>
      <c r="S300" s="1">
        <v>654.6</v>
      </c>
      <c r="T300" s="1">
        <v>21.15</v>
      </c>
      <c r="U300" s="1">
        <v>43.52</v>
      </c>
      <c r="V300" s="1" t="s">
        <v>295</v>
      </c>
    </row>
    <row r="301" spans="1:22">
      <c r="B301" s="1" t="s">
        <v>296</v>
      </c>
      <c r="C301" s="1">
        <v>0.13150999999999999</v>
      </c>
      <c r="D301" s="108">
        <f t="shared" si="14"/>
        <v>19.07394738</v>
      </c>
      <c r="E301" s="1">
        <v>675.3</v>
      </c>
      <c r="F301" s="1">
        <f t="shared" si="15"/>
        <v>1.1353057378351989</v>
      </c>
      <c r="G301" s="1">
        <v>0.88082000000000005</v>
      </c>
      <c r="H301" s="1">
        <v>72.55</v>
      </c>
      <c r="I301" s="1">
        <v>1426.28</v>
      </c>
      <c r="J301" s="1">
        <v>0.50960000000000005</v>
      </c>
      <c r="K301" s="1">
        <v>6.0316999999999998</v>
      </c>
      <c r="L301" s="1">
        <v>4.4740000000000002</v>
      </c>
      <c r="M301" s="1">
        <v>2.3439999999999999</v>
      </c>
      <c r="N301" s="1">
        <v>1.353</v>
      </c>
      <c r="O301" s="1">
        <v>1730</v>
      </c>
      <c r="P301" s="1">
        <v>389.2</v>
      </c>
      <c r="Q301" s="1">
        <v>237.6</v>
      </c>
      <c r="R301" s="1">
        <v>8.2100000000000009</v>
      </c>
      <c r="S301" s="1">
        <v>648</v>
      </c>
      <c r="T301" s="1">
        <v>21.26</v>
      </c>
      <c r="U301" s="1">
        <v>42.78</v>
      </c>
      <c r="V301" s="1" t="s">
        <v>296</v>
      </c>
    </row>
    <row r="302" spans="1:22">
      <c r="B302" s="1" t="s">
        <v>297</v>
      </c>
      <c r="C302" s="1">
        <v>0.14457</v>
      </c>
      <c r="D302" s="108">
        <f t="shared" si="14"/>
        <v>20.968143660000003</v>
      </c>
      <c r="E302" s="1">
        <v>672.8</v>
      </c>
      <c r="F302" s="1">
        <f t="shared" si="15"/>
        <v>1.2404793212097154</v>
      </c>
      <c r="G302" s="1">
        <v>0.80613999999999997</v>
      </c>
      <c r="H302" s="1">
        <v>81.52</v>
      </c>
      <c r="I302" s="1">
        <v>1429.21</v>
      </c>
      <c r="J302" s="1">
        <v>0.54600000000000004</v>
      </c>
      <c r="K302" s="1">
        <v>5.9988999999999999</v>
      </c>
      <c r="L302" s="1">
        <v>4.484</v>
      </c>
      <c r="M302" s="1">
        <v>2.363</v>
      </c>
      <c r="N302" s="1">
        <v>1.355</v>
      </c>
      <c r="O302" s="1">
        <v>1716</v>
      </c>
      <c r="P302" s="1">
        <v>390.2</v>
      </c>
      <c r="Q302" s="1">
        <v>231.4</v>
      </c>
      <c r="R302" s="1">
        <v>8.27</v>
      </c>
      <c r="S302" s="1">
        <v>641.5</v>
      </c>
      <c r="T302" s="1">
        <v>21.38</v>
      </c>
      <c r="U302" s="1">
        <v>42.05</v>
      </c>
      <c r="V302" s="1" t="s">
        <v>297</v>
      </c>
    </row>
    <row r="303" spans="1:22">
      <c r="B303" s="1" t="s">
        <v>298</v>
      </c>
      <c r="C303" s="1">
        <v>0.15864</v>
      </c>
      <c r="D303" s="108">
        <f t="shared" si="14"/>
        <v>23.008828320000003</v>
      </c>
      <c r="E303" s="1">
        <v>670.3</v>
      </c>
      <c r="F303" s="1">
        <f t="shared" si="15"/>
        <v>1.3532532207426655</v>
      </c>
      <c r="G303" s="1">
        <v>0.73895999999999995</v>
      </c>
      <c r="H303" s="1">
        <v>90.51</v>
      </c>
      <c r="I303" s="1">
        <v>1432.08</v>
      </c>
      <c r="J303" s="1">
        <v>0.58209999999999995</v>
      </c>
      <c r="K303" s="1">
        <v>5.9667000000000003</v>
      </c>
      <c r="L303" s="1">
        <v>4.4939999999999998</v>
      </c>
      <c r="M303" s="1">
        <v>2.383</v>
      </c>
      <c r="N303" s="1">
        <v>1.3580000000000001</v>
      </c>
      <c r="O303" s="1">
        <v>1702</v>
      </c>
      <c r="P303" s="1">
        <v>391.2</v>
      </c>
      <c r="Q303" s="1">
        <v>225.5</v>
      </c>
      <c r="R303" s="1">
        <v>8.33</v>
      </c>
      <c r="S303" s="1">
        <v>634.9</v>
      </c>
      <c r="T303" s="1">
        <v>21.51</v>
      </c>
      <c r="U303" s="1">
        <v>41.32</v>
      </c>
      <c r="V303" s="1" t="s">
        <v>298</v>
      </c>
    </row>
    <row r="304" spans="1:22">
      <c r="B304" s="1" t="s">
        <v>299</v>
      </c>
      <c r="C304" s="1">
        <v>0.17379</v>
      </c>
      <c r="D304" s="108">
        <f t="shared" si="14"/>
        <v>25.206154020000003</v>
      </c>
      <c r="E304" s="1">
        <v>667.7</v>
      </c>
      <c r="F304" s="1">
        <f t="shared" si="15"/>
        <v>1.4740566037735849</v>
      </c>
      <c r="G304" s="1">
        <v>0.6784</v>
      </c>
      <c r="H304" s="1">
        <v>99.52</v>
      </c>
      <c r="I304" s="1">
        <v>1434.91</v>
      </c>
      <c r="J304" s="1">
        <v>0.61799999999999999</v>
      </c>
      <c r="K304" s="1">
        <v>5.9351000000000003</v>
      </c>
      <c r="L304" s="1">
        <v>4.5039999999999996</v>
      </c>
      <c r="M304" s="1">
        <v>2.403</v>
      </c>
      <c r="N304" s="1">
        <v>1.36</v>
      </c>
      <c r="O304" s="1">
        <v>1687</v>
      </c>
      <c r="P304" s="1">
        <v>392.2</v>
      </c>
      <c r="Q304" s="1">
        <v>219.8</v>
      </c>
      <c r="R304" s="1">
        <v>8.39</v>
      </c>
      <c r="S304" s="1">
        <v>628.4</v>
      </c>
      <c r="T304" s="1">
        <v>21.63</v>
      </c>
      <c r="U304" s="1">
        <v>40.6</v>
      </c>
      <c r="V304" s="1" t="s">
        <v>299</v>
      </c>
    </row>
    <row r="305" spans="2:22">
      <c r="B305" s="1" t="s">
        <v>300</v>
      </c>
      <c r="C305" s="1">
        <v>0.19008</v>
      </c>
      <c r="D305" s="108">
        <f t="shared" si="14"/>
        <v>27.568823040000002</v>
      </c>
      <c r="E305" s="1">
        <v>665.1</v>
      </c>
      <c r="F305" s="1">
        <f t="shared" si="15"/>
        <v>1.6032578198900165</v>
      </c>
      <c r="G305" s="1">
        <v>0.62373000000000001</v>
      </c>
      <c r="H305" s="1">
        <v>108.55</v>
      </c>
      <c r="I305" s="1">
        <v>1437.68</v>
      </c>
      <c r="J305" s="1">
        <v>0.65380000000000005</v>
      </c>
      <c r="K305" s="1">
        <v>5.9040999999999997</v>
      </c>
      <c r="L305" s="1">
        <v>4.5140000000000002</v>
      </c>
      <c r="M305" s="1">
        <v>2.4249999999999998</v>
      </c>
      <c r="N305" s="1">
        <v>1.363</v>
      </c>
      <c r="O305" s="1">
        <v>1673</v>
      </c>
      <c r="P305" s="1">
        <v>393.2</v>
      </c>
      <c r="Q305" s="1">
        <v>214.4</v>
      </c>
      <c r="R305" s="1">
        <v>8.4499999999999993</v>
      </c>
      <c r="S305" s="1">
        <v>622</v>
      </c>
      <c r="T305" s="1">
        <v>21.77</v>
      </c>
      <c r="U305" s="1">
        <v>39.880000000000003</v>
      </c>
      <c r="V305" s="1" t="s">
        <v>300</v>
      </c>
    </row>
    <row r="306" spans="2:22">
      <c r="B306" s="1" t="s">
        <v>301</v>
      </c>
      <c r="C306" s="1">
        <v>0.20755999999999999</v>
      </c>
      <c r="D306" s="108">
        <f t="shared" si="14"/>
        <v>30.104087280000002</v>
      </c>
      <c r="E306" s="1">
        <v>662.6</v>
      </c>
      <c r="F306" s="1">
        <f t="shared" si="15"/>
        <v>1.7413108588145156</v>
      </c>
      <c r="G306" s="1">
        <v>0.57428000000000001</v>
      </c>
      <c r="H306" s="1">
        <v>117.6</v>
      </c>
      <c r="I306" s="1">
        <v>1440.39</v>
      </c>
      <c r="J306" s="1">
        <v>0.68930000000000002</v>
      </c>
      <c r="K306" s="1">
        <v>5.8735999999999997</v>
      </c>
      <c r="L306" s="1">
        <v>4.524</v>
      </c>
      <c r="M306" s="1">
        <v>2.4460000000000002</v>
      </c>
      <c r="N306" s="1">
        <v>1.365</v>
      </c>
      <c r="O306" s="1">
        <v>1659</v>
      </c>
      <c r="P306" s="1">
        <v>394.1</v>
      </c>
      <c r="Q306" s="1">
        <v>209.2</v>
      </c>
      <c r="R306" s="1">
        <v>8.51</v>
      </c>
      <c r="S306" s="1">
        <v>615.5</v>
      </c>
      <c r="T306" s="1">
        <v>21.9</v>
      </c>
      <c r="U306" s="1">
        <v>39.159999999999997</v>
      </c>
      <c r="V306" s="1" t="s">
        <v>301</v>
      </c>
    </row>
    <row r="307" spans="2:22">
      <c r="B307" s="1" t="s">
        <v>302</v>
      </c>
      <c r="C307" s="1">
        <v>0.2263</v>
      </c>
      <c r="D307" s="108">
        <f t="shared" si="14"/>
        <v>32.822099400000006</v>
      </c>
      <c r="E307" s="1">
        <v>660</v>
      </c>
      <c r="F307" s="1">
        <f t="shared" si="15"/>
        <v>1.8886097943303934</v>
      </c>
      <c r="G307" s="1">
        <v>0.52949000000000002</v>
      </c>
      <c r="H307" s="1">
        <v>126.67</v>
      </c>
      <c r="I307" s="1">
        <v>1443.06</v>
      </c>
      <c r="J307" s="1">
        <v>0.72460000000000002</v>
      </c>
      <c r="K307" s="1">
        <v>5.8437000000000001</v>
      </c>
      <c r="L307" s="1">
        <v>4.5339999999999998</v>
      </c>
      <c r="M307" s="1">
        <v>2.4689999999999999</v>
      </c>
      <c r="N307" s="1">
        <v>1.3680000000000001</v>
      </c>
      <c r="O307" s="1">
        <v>1645</v>
      </c>
      <c r="P307" s="1">
        <v>395</v>
      </c>
      <c r="Q307" s="1">
        <v>204.2</v>
      </c>
      <c r="R307" s="1">
        <v>8.57</v>
      </c>
      <c r="S307" s="1">
        <v>609.1</v>
      </c>
      <c r="T307" s="1">
        <v>22.05</v>
      </c>
      <c r="U307" s="1">
        <v>38.450000000000003</v>
      </c>
      <c r="V307" s="1" t="s">
        <v>302</v>
      </c>
    </row>
    <row r="308" spans="2:22">
      <c r="B308" s="1" t="s">
        <v>303</v>
      </c>
      <c r="C308" s="1">
        <v>0.24637000000000001</v>
      </c>
      <c r="D308" s="108">
        <f t="shared" si="14"/>
        <v>35.73301206</v>
      </c>
      <c r="E308" s="1">
        <v>657.3</v>
      </c>
      <c r="F308" s="1">
        <f t="shared" si="15"/>
        <v>2.0456172650097169</v>
      </c>
      <c r="G308" s="1">
        <v>0.48885000000000001</v>
      </c>
      <c r="H308" s="1">
        <v>135.76</v>
      </c>
      <c r="I308" s="1">
        <v>1445.66</v>
      </c>
      <c r="J308" s="1">
        <v>0.75970000000000004</v>
      </c>
      <c r="K308" s="1">
        <v>5.8143000000000002</v>
      </c>
      <c r="L308" s="1">
        <v>4.5430000000000001</v>
      </c>
      <c r="M308" s="1">
        <v>2.4929999999999999</v>
      </c>
      <c r="N308" s="1">
        <v>1.371</v>
      </c>
      <c r="O308" s="1">
        <v>1631</v>
      </c>
      <c r="P308" s="1">
        <v>395.8</v>
      </c>
      <c r="Q308" s="1">
        <v>199.3</v>
      </c>
      <c r="R308" s="1">
        <v>8.6300000000000008</v>
      </c>
      <c r="S308" s="1">
        <v>602.79999999999995</v>
      </c>
      <c r="T308" s="1">
        <v>22.19</v>
      </c>
      <c r="U308" s="1">
        <v>37.74</v>
      </c>
      <c r="V308" s="1" t="s">
        <v>303</v>
      </c>
    </row>
    <row r="309" spans="2:22">
      <c r="B309" s="1" t="s">
        <v>304</v>
      </c>
      <c r="C309" s="1">
        <v>0.26782</v>
      </c>
      <c r="D309" s="108">
        <f t="shared" si="14"/>
        <v>38.844077160000005</v>
      </c>
      <c r="E309" s="1">
        <v>654.70000000000005</v>
      </c>
      <c r="F309" s="1">
        <f t="shared" si="15"/>
        <v>2.2127810231899452</v>
      </c>
      <c r="G309" s="1">
        <v>0.45191999999999999</v>
      </c>
      <c r="H309" s="1">
        <v>144.88</v>
      </c>
      <c r="I309" s="1">
        <v>1448.21</v>
      </c>
      <c r="J309" s="1">
        <v>0.79459999999999997</v>
      </c>
      <c r="K309" s="1">
        <v>5.7853000000000003</v>
      </c>
      <c r="L309" s="1">
        <v>4.5529999999999999</v>
      </c>
      <c r="M309" s="1">
        <v>2.5169999999999999</v>
      </c>
      <c r="N309" s="1">
        <v>1.375</v>
      </c>
      <c r="O309" s="1">
        <v>1616</v>
      </c>
      <c r="P309" s="1">
        <v>396.7</v>
      </c>
      <c r="Q309" s="1">
        <v>194.7</v>
      </c>
      <c r="R309" s="1">
        <v>8.69</v>
      </c>
      <c r="S309" s="1">
        <v>596.4</v>
      </c>
      <c r="T309" s="1">
        <v>22.35</v>
      </c>
      <c r="U309" s="1">
        <v>37.04</v>
      </c>
      <c r="V309" s="1" t="s">
        <v>304</v>
      </c>
    </row>
    <row r="310" spans="2:22">
      <c r="B310" s="1" t="s">
        <v>305</v>
      </c>
      <c r="C310" s="1">
        <v>0.29071000000000002</v>
      </c>
      <c r="D310" s="108">
        <f t="shared" si="14"/>
        <v>42.163996980000007</v>
      </c>
      <c r="E310" s="1">
        <v>652.1</v>
      </c>
      <c r="F310" s="1">
        <f t="shared" si="15"/>
        <v>2.3906287353573989</v>
      </c>
      <c r="G310" s="1">
        <v>0.41830000000000001</v>
      </c>
      <c r="H310" s="1">
        <v>154.01</v>
      </c>
      <c r="I310" s="1">
        <v>1450.7</v>
      </c>
      <c r="J310" s="1">
        <v>0.82930000000000004</v>
      </c>
      <c r="K310" s="1">
        <v>5.7568999999999999</v>
      </c>
      <c r="L310" s="1">
        <v>4.5640000000000001</v>
      </c>
      <c r="M310" s="1">
        <v>2.5419999999999998</v>
      </c>
      <c r="N310" s="1">
        <v>1.3779999999999999</v>
      </c>
      <c r="O310" s="1">
        <v>1602</v>
      </c>
      <c r="P310" s="1">
        <v>397.5</v>
      </c>
      <c r="Q310" s="1">
        <v>190.2</v>
      </c>
      <c r="R310" s="1">
        <v>8.75</v>
      </c>
      <c r="S310" s="1">
        <v>590.1</v>
      </c>
      <c r="T310" s="1">
        <v>22.5</v>
      </c>
      <c r="U310" s="1">
        <v>36.340000000000003</v>
      </c>
      <c r="V310" s="1" t="s">
        <v>305</v>
      </c>
    </row>
    <row r="311" spans="2:22">
      <c r="B311" s="1" t="s">
        <v>306</v>
      </c>
      <c r="C311" s="1">
        <v>0.31513000000000002</v>
      </c>
      <c r="D311" s="108">
        <f t="shared" si="14"/>
        <v>45.705824940000007</v>
      </c>
      <c r="E311" s="1">
        <v>649.4</v>
      </c>
      <c r="F311" s="1">
        <f t="shared" si="15"/>
        <v>2.579513503753192</v>
      </c>
      <c r="G311" s="1">
        <v>0.38767000000000001</v>
      </c>
      <c r="H311" s="1">
        <v>163.16</v>
      </c>
      <c r="I311" s="1">
        <v>1453.14</v>
      </c>
      <c r="J311" s="1">
        <v>0.86380000000000001</v>
      </c>
      <c r="K311" s="1">
        <v>5.7289000000000003</v>
      </c>
      <c r="L311" s="1">
        <v>4.5739999999999998</v>
      </c>
      <c r="M311" s="1">
        <v>2.5680000000000001</v>
      </c>
      <c r="N311" s="1">
        <v>1.3819999999999999</v>
      </c>
      <c r="O311" s="1">
        <v>1588</v>
      </c>
      <c r="P311" s="1">
        <v>398.2</v>
      </c>
      <c r="Q311" s="1">
        <v>185.9</v>
      </c>
      <c r="R311" s="1">
        <v>8.81</v>
      </c>
      <c r="S311" s="1">
        <v>583.9</v>
      </c>
      <c r="T311" s="1">
        <v>22.67</v>
      </c>
      <c r="U311" s="1">
        <v>35.65</v>
      </c>
      <c r="V311" s="1" t="s">
        <v>306</v>
      </c>
    </row>
    <row r="312" spans="2:22">
      <c r="B312" s="1" t="s">
        <v>307</v>
      </c>
      <c r="C312" s="1">
        <v>0.34114</v>
      </c>
      <c r="D312" s="108">
        <f t="shared" si="14"/>
        <v>49.478263320000003</v>
      </c>
      <c r="E312" s="1">
        <v>646.70000000000005</v>
      </c>
      <c r="F312" s="1">
        <f t="shared" si="15"/>
        <v>2.7800945232137892</v>
      </c>
      <c r="G312" s="1">
        <v>0.35970000000000002</v>
      </c>
      <c r="H312" s="1">
        <v>172.34</v>
      </c>
      <c r="I312" s="1">
        <v>1455.51</v>
      </c>
      <c r="J312" s="1">
        <v>0.89810000000000001</v>
      </c>
      <c r="K312" s="1">
        <v>5.7012999999999998</v>
      </c>
      <c r="L312" s="1">
        <v>4.5839999999999996</v>
      </c>
      <c r="M312" s="1">
        <v>2.5939999999999999</v>
      </c>
      <c r="N312" s="1">
        <v>1.385</v>
      </c>
      <c r="O312" s="1">
        <v>1574</v>
      </c>
      <c r="P312" s="1">
        <v>398.9</v>
      </c>
      <c r="Q312" s="1">
        <v>181.7</v>
      </c>
      <c r="R312" s="1">
        <v>8.8699999999999992</v>
      </c>
      <c r="S312" s="1">
        <v>577.70000000000005</v>
      </c>
      <c r="T312" s="1">
        <v>22.83</v>
      </c>
      <c r="U312" s="1">
        <v>34.96</v>
      </c>
      <c r="V312" s="1" t="s">
        <v>307</v>
      </c>
    </row>
    <row r="313" spans="2:22">
      <c r="B313" s="1" t="s">
        <v>308</v>
      </c>
      <c r="C313" s="1">
        <v>0.36880000000000002</v>
      </c>
      <c r="D313" s="108">
        <f t="shared" si="14"/>
        <v>53.490014400000007</v>
      </c>
      <c r="E313" s="1">
        <v>644</v>
      </c>
      <c r="F313" s="1">
        <f t="shared" si="15"/>
        <v>2.99275752678518</v>
      </c>
      <c r="G313" s="1">
        <v>0.33413999999999999</v>
      </c>
      <c r="H313" s="1">
        <v>181.54</v>
      </c>
      <c r="I313" s="1">
        <v>1457.81</v>
      </c>
      <c r="J313" s="1">
        <v>0.93230000000000002</v>
      </c>
      <c r="K313" s="1">
        <v>5.6741000000000001</v>
      </c>
      <c r="L313" s="1">
        <v>4.5949999999999998</v>
      </c>
      <c r="M313" s="1">
        <v>2.6219999999999999</v>
      </c>
      <c r="N313" s="1">
        <v>1.389</v>
      </c>
      <c r="O313" s="1">
        <v>1559</v>
      </c>
      <c r="P313" s="1">
        <v>399.6</v>
      </c>
      <c r="Q313" s="1">
        <v>177.7</v>
      </c>
      <c r="R313" s="1">
        <v>8.93</v>
      </c>
      <c r="S313" s="1">
        <v>571.5</v>
      </c>
      <c r="T313" s="1">
        <v>23</v>
      </c>
      <c r="U313" s="1">
        <v>34.270000000000003</v>
      </c>
      <c r="V313" s="1" t="s">
        <v>308</v>
      </c>
    </row>
    <row r="314" spans="2:22">
      <c r="B314" s="1" t="s">
        <v>309</v>
      </c>
      <c r="C314" s="1">
        <v>0.39818999999999999</v>
      </c>
      <c r="D314" s="108">
        <f t="shared" si="14"/>
        <v>57.752681219999999</v>
      </c>
      <c r="E314" s="1">
        <v>641.29999999999995</v>
      </c>
      <c r="F314" s="1">
        <f t="shared" si="15"/>
        <v>3.2181244770547721</v>
      </c>
      <c r="G314" s="1">
        <v>0.31074000000000002</v>
      </c>
      <c r="H314" s="1">
        <v>190.76</v>
      </c>
      <c r="I314" s="1">
        <v>1460.06</v>
      </c>
      <c r="J314" s="1">
        <v>0.96619999999999995</v>
      </c>
      <c r="K314" s="1">
        <v>5.6474000000000002</v>
      </c>
      <c r="L314" s="1">
        <v>4.6059999999999999</v>
      </c>
      <c r="M314" s="1">
        <v>2.6509999999999998</v>
      </c>
      <c r="N314" s="1">
        <v>1.393</v>
      </c>
      <c r="O314" s="1">
        <v>1545</v>
      </c>
      <c r="P314" s="1">
        <v>400.2</v>
      </c>
      <c r="Q314" s="1">
        <v>173.8</v>
      </c>
      <c r="R314" s="1">
        <v>8.99</v>
      </c>
      <c r="S314" s="1">
        <v>565.29999999999995</v>
      </c>
      <c r="T314" s="1">
        <v>23.18</v>
      </c>
      <c r="U314" s="1">
        <v>33.590000000000003</v>
      </c>
      <c r="V314" s="1" t="s">
        <v>309</v>
      </c>
    </row>
    <row r="315" spans="2:22">
      <c r="B315" s="1">
        <v>0</v>
      </c>
      <c r="C315" s="1">
        <v>0.42937999999999998</v>
      </c>
      <c r="D315" s="108">
        <f t="shared" si="14"/>
        <v>62.276416440000006</v>
      </c>
      <c r="E315" s="1">
        <v>638.6</v>
      </c>
      <c r="F315" s="1">
        <f t="shared" si="15"/>
        <v>3.4566194262011751</v>
      </c>
      <c r="G315" s="1">
        <v>0.2893</v>
      </c>
      <c r="H315" s="1">
        <v>200</v>
      </c>
      <c r="I315" s="1">
        <v>1462.24</v>
      </c>
      <c r="J315" s="1">
        <v>1</v>
      </c>
      <c r="K315" s="1">
        <v>5.6210000000000004</v>
      </c>
      <c r="L315" s="1">
        <v>4.617</v>
      </c>
      <c r="M315" s="1">
        <v>2.68</v>
      </c>
      <c r="N315" s="1">
        <v>1.3979999999999999</v>
      </c>
      <c r="O315" s="1">
        <v>1531</v>
      </c>
      <c r="P315" s="1">
        <v>400.8</v>
      </c>
      <c r="Q315" s="1">
        <v>170.1</v>
      </c>
      <c r="R315" s="1">
        <v>9.06</v>
      </c>
      <c r="S315" s="1">
        <v>559.20000000000005</v>
      </c>
      <c r="T315" s="1">
        <v>23.37</v>
      </c>
      <c r="U315" s="1">
        <v>32.909999999999997</v>
      </c>
      <c r="V315" s="1">
        <v>0</v>
      </c>
    </row>
    <row r="316" spans="2:22">
      <c r="B316" s="1">
        <v>2</v>
      </c>
      <c r="C316" s="1">
        <v>0.46245999999999998</v>
      </c>
      <c r="D316" s="108">
        <f t="shared" si="14"/>
        <v>67.074273480000002</v>
      </c>
      <c r="E316" s="1">
        <v>635.79999999999995</v>
      </c>
      <c r="F316" s="1">
        <f t="shared" si="15"/>
        <v>3.7089236703508637</v>
      </c>
      <c r="G316" s="1">
        <v>0.26962000000000003</v>
      </c>
      <c r="H316" s="1">
        <v>209.27</v>
      </c>
      <c r="I316" s="1">
        <v>1464.35</v>
      </c>
      <c r="J316" s="1">
        <v>1.0336000000000001</v>
      </c>
      <c r="K316" s="1">
        <v>5.5951000000000004</v>
      </c>
      <c r="L316" s="1">
        <v>4.6280000000000001</v>
      </c>
      <c r="M316" s="1">
        <v>2.71</v>
      </c>
      <c r="N316" s="1">
        <v>1.4019999999999999</v>
      </c>
      <c r="O316" s="1">
        <v>1516</v>
      </c>
      <c r="P316" s="1">
        <v>401.4</v>
      </c>
      <c r="Q316" s="1">
        <v>166.5</v>
      </c>
      <c r="R316" s="1">
        <v>9.1199999999999992</v>
      </c>
      <c r="S316" s="1">
        <v>553.1</v>
      </c>
      <c r="T316" s="1">
        <v>23.55</v>
      </c>
      <c r="U316" s="1">
        <v>32.24</v>
      </c>
      <c r="V316" s="1">
        <v>2</v>
      </c>
    </row>
    <row r="317" spans="2:22">
      <c r="B317" s="1">
        <v>4</v>
      </c>
      <c r="C317" s="1">
        <v>0.49747999999999998</v>
      </c>
      <c r="D317" s="108">
        <f t="shared" si="14"/>
        <v>72.153504240000004</v>
      </c>
      <c r="E317" s="1">
        <v>633.1</v>
      </c>
      <c r="F317" s="1">
        <f t="shared" si="15"/>
        <v>3.9756689062934845</v>
      </c>
      <c r="G317" s="1">
        <v>0.25152999999999998</v>
      </c>
      <c r="H317" s="1">
        <v>218.55</v>
      </c>
      <c r="I317" s="1">
        <v>1466.4</v>
      </c>
      <c r="J317" s="1">
        <v>1.0669999999999999</v>
      </c>
      <c r="K317" s="1">
        <v>5.5694999999999997</v>
      </c>
      <c r="L317" s="1">
        <v>4.6390000000000002</v>
      </c>
      <c r="M317" s="1">
        <v>2.742</v>
      </c>
      <c r="N317" s="1">
        <v>1.407</v>
      </c>
      <c r="O317" s="1">
        <v>1502</v>
      </c>
      <c r="P317" s="1">
        <v>401.9</v>
      </c>
      <c r="Q317" s="1">
        <v>162.9</v>
      </c>
      <c r="R317" s="1">
        <v>9.18</v>
      </c>
      <c r="S317" s="1">
        <v>547.1</v>
      </c>
      <c r="T317" s="1">
        <v>23.75</v>
      </c>
      <c r="U317" s="1">
        <v>31.57</v>
      </c>
      <c r="V317" s="1">
        <v>4</v>
      </c>
    </row>
    <row r="318" spans="2:22">
      <c r="B318" s="1">
        <v>6</v>
      </c>
      <c r="C318" s="1">
        <v>0.53452999999999995</v>
      </c>
      <c r="D318" s="108">
        <f t="shared" si="14"/>
        <v>77.527162140000002</v>
      </c>
      <c r="E318" s="1">
        <v>630.29999999999995</v>
      </c>
      <c r="F318" s="1">
        <f t="shared" si="15"/>
        <v>4.2573119332453491</v>
      </c>
      <c r="G318" s="1">
        <v>0.23488999999999999</v>
      </c>
      <c r="H318" s="1">
        <v>227.87</v>
      </c>
      <c r="I318" s="1">
        <v>1468.37</v>
      </c>
      <c r="J318" s="1">
        <v>1.1003000000000001</v>
      </c>
      <c r="K318" s="1">
        <v>5.5442</v>
      </c>
      <c r="L318" s="1">
        <v>4.6509999999999998</v>
      </c>
      <c r="M318" s="1">
        <v>2.774</v>
      </c>
      <c r="N318" s="1">
        <v>1.4119999999999999</v>
      </c>
      <c r="O318" s="1">
        <v>1487</v>
      </c>
      <c r="P318" s="1">
        <v>402.4</v>
      </c>
      <c r="Q318" s="1">
        <v>159.5</v>
      </c>
      <c r="R318" s="1">
        <v>9.24</v>
      </c>
      <c r="S318" s="1">
        <v>541.1</v>
      </c>
      <c r="T318" s="1">
        <v>23.95</v>
      </c>
      <c r="U318" s="1">
        <v>30.91</v>
      </c>
      <c r="V318" s="1">
        <v>6</v>
      </c>
    </row>
    <row r="319" spans="2:22">
      <c r="B319" s="1">
        <v>8</v>
      </c>
      <c r="C319" s="1">
        <v>0.57369999999999999</v>
      </c>
      <c r="D319" s="108">
        <f t="shared" si="14"/>
        <v>83.208300600000001</v>
      </c>
      <c r="E319" s="1">
        <v>627.5</v>
      </c>
      <c r="F319" s="1">
        <f t="shared" si="15"/>
        <v>4.5545636728001453</v>
      </c>
      <c r="G319" s="1">
        <v>0.21956000000000001</v>
      </c>
      <c r="H319" s="1">
        <v>237.2</v>
      </c>
      <c r="I319" s="1">
        <v>1470.28</v>
      </c>
      <c r="J319" s="1">
        <v>1.1334</v>
      </c>
      <c r="K319" s="1">
        <v>5.5191999999999997</v>
      </c>
      <c r="L319" s="1">
        <v>4.6630000000000003</v>
      </c>
      <c r="M319" s="1">
        <v>2.8069999999999999</v>
      </c>
      <c r="N319" s="1">
        <v>1.417</v>
      </c>
      <c r="O319" s="1">
        <v>1473</v>
      </c>
      <c r="P319" s="1">
        <v>402.8</v>
      </c>
      <c r="Q319" s="1">
        <v>156.19999999999999</v>
      </c>
      <c r="R319" s="1">
        <v>9.3000000000000007</v>
      </c>
      <c r="S319" s="1">
        <v>535.1</v>
      </c>
      <c r="T319" s="1">
        <v>24.15</v>
      </c>
      <c r="U319" s="1">
        <v>30.24</v>
      </c>
      <c r="V319" s="1">
        <v>8</v>
      </c>
    </row>
    <row r="320" spans="2:22">
      <c r="B320" s="1">
        <v>10</v>
      </c>
      <c r="C320" s="1">
        <v>0.61504999999999999</v>
      </c>
      <c r="D320" s="108">
        <f t="shared" si="14"/>
        <v>89.205621900000011</v>
      </c>
      <c r="E320" s="1">
        <v>624.6</v>
      </c>
      <c r="F320" s="1">
        <f t="shared" si="15"/>
        <v>4.8678381930584624</v>
      </c>
      <c r="G320" s="1">
        <v>0.20543</v>
      </c>
      <c r="H320" s="1">
        <v>246.57</v>
      </c>
      <c r="I320" s="1">
        <v>1472.11</v>
      </c>
      <c r="J320" s="1">
        <v>1.1664000000000001</v>
      </c>
      <c r="K320" s="1">
        <v>5.4946000000000002</v>
      </c>
      <c r="L320" s="1">
        <v>4.6760000000000002</v>
      </c>
      <c r="M320" s="1">
        <v>2.8410000000000002</v>
      </c>
      <c r="N320" s="1">
        <v>1.4219999999999999</v>
      </c>
      <c r="O320" s="1">
        <v>1458</v>
      </c>
      <c r="P320" s="1">
        <v>403.2</v>
      </c>
      <c r="Q320" s="1">
        <v>153</v>
      </c>
      <c r="R320" s="1">
        <v>9.36</v>
      </c>
      <c r="S320" s="1">
        <v>529.1</v>
      </c>
      <c r="T320" s="1">
        <v>24.37</v>
      </c>
      <c r="U320" s="1">
        <v>29.59</v>
      </c>
      <c r="V320" s="1">
        <v>10</v>
      </c>
    </row>
    <row r="321" spans="2:22">
      <c r="B321" s="1">
        <v>12</v>
      </c>
      <c r="C321" s="1">
        <v>0.65866000000000002</v>
      </c>
      <c r="D321" s="108">
        <f t="shared" si="14"/>
        <v>95.530729080000015</v>
      </c>
      <c r="E321" s="1">
        <v>621.79999999999995</v>
      </c>
      <c r="F321" s="1">
        <f t="shared" si="15"/>
        <v>5.1983157456983937</v>
      </c>
      <c r="G321" s="1">
        <v>0.19237000000000001</v>
      </c>
      <c r="H321" s="1">
        <v>255.95</v>
      </c>
      <c r="I321" s="1">
        <v>1473.88</v>
      </c>
      <c r="J321" s="1">
        <v>1.1992</v>
      </c>
      <c r="K321" s="1">
        <v>5.4702999999999999</v>
      </c>
      <c r="L321" s="1">
        <v>4.6890000000000001</v>
      </c>
      <c r="M321" s="1">
        <v>2.8769999999999998</v>
      </c>
      <c r="N321" s="1">
        <v>1.4279999999999999</v>
      </c>
      <c r="O321" s="1">
        <v>1443</v>
      </c>
      <c r="P321" s="1">
        <v>403.6</v>
      </c>
      <c r="Q321" s="1">
        <v>149.9</v>
      </c>
      <c r="R321" s="1">
        <v>9.43</v>
      </c>
      <c r="S321" s="1">
        <v>523.20000000000005</v>
      </c>
      <c r="T321" s="1">
        <v>24.58</v>
      </c>
      <c r="U321" s="1">
        <v>28.94</v>
      </c>
      <c r="V321" s="1">
        <v>12</v>
      </c>
    </row>
    <row r="322" spans="2:22">
      <c r="B322" s="1">
        <v>14</v>
      </c>
      <c r="C322" s="1">
        <v>0.70462999999999998</v>
      </c>
      <c r="D322" s="108">
        <f t="shared" si="14"/>
        <v>102.19812594000001</v>
      </c>
      <c r="E322" s="1">
        <v>618.9</v>
      </c>
      <c r="F322" s="1">
        <f t="shared" si="15"/>
        <v>5.5460041040430372</v>
      </c>
      <c r="G322" s="1">
        <v>0.18031</v>
      </c>
      <c r="H322" s="1">
        <v>265.37</v>
      </c>
      <c r="I322" s="1">
        <v>1475.56</v>
      </c>
      <c r="J322" s="1">
        <v>1.2318</v>
      </c>
      <c r="K322" s="1">
        <v>5.4462999999999999</v>
      </c>
      <c r="L322" s="1">
        <v>4.702</v>
      </c>
      <c r="M322" s="1">
        <v>2.9129999999999998</v>
      </c>
      <c r="N322" s="1">
        <v>1.4339999999999999</v>
      </c>
      <c r="O322" s="1">
        <v>1429</v>
      </c>
      <c r="P322" s="1">
        <v>403.9</v>
      </c>
      <c r="Q322" s="1">
        <v>146.9</v>
      </c>
      <c r="R322" s="1">
        <v>9.49</v>
      </c>
      <c r="S322" s="1">
        <v>517.29999999999995</v>
      </c>
      <c r="T322" s="1">
        <v>24.81</v>
      </c>
      <c r="U322" s="1">
        <v>28.29</v>
      </c>
      <c r="V322" s="1">
        <v>14</v>
      </c>
    </row>
    <row r="323" spans="2:22">
      <c r="B323" s="1">
        <v>16</v>
      </c>
      <c r="C323" s="1">
        <v>0.75302999999999998</v>
      </c>
      <c r="D323" s="108">
        <f t="shared" si="14"/>
        <v>109.21796514</v>
      </c>
      <c r="E323" s="1">
        <v>616</v>
      </c>
      <c r="F323" s="1">
        <f t="shared" si="15"/>
        <v>5.9122620314532339</v>
      </c>
      <c r="G323" s="1">
        <v>0.16914000000000001</v>
      </c>
      <c r="H323" s="1">
        <v>274.81</v>
      </c>
      <c r="I323" s="1">
        <v>1477.17</v>
      </c>
      <c r="J323" s="1">
        <v>1.2643</v>
      </c>
      <c r="K323" s="1">
        <v>5.4226000000000001</v>
      </c>
      <c r="L323" s="1">
        <v>4.7160000000000002</v>
      </c>
      <c r="M323" s="1">
        <v>2.9510000000000001</v>
      </c>
      <c r="N323" s="1">
        <v>1.44</v>
      </c>
      <c r="O323" s="1">
        <v>1414</v>
      </c>
      <c r="P323" s="1">
        <v>404.2</v>
      </c>
      <c r="Q323" s="1">
        <v>144</v>
      </c>
      <c r="R323" s="1">
        <v>9.5500000000000007</v>
      </c>
      <c r="S323" s="1">
        <v>511.5</v>
      </c>
      <c r="T323" s="1">
        <v>25.04</v>
      </c>
      <c r="U323" s="1">
        <v>27.65</v>
      </c>
      <c r="V323" s="1">
        <v>16</v>
      </c>
    </row>
    <row r="324" spans="2:22">
      <c r="B324" s="1">
        <v>18</v>
      </c>
      <c r="C324" s="1">
        <v>0.80395000000000005</v>
      </c>
      <c r="D324" s="108">
        <f t="shared" si="14"/>
        <v>116.60330010000001</v>
      </c>
      <c r="E324" s="1">
        <v>613.1</v>
      </c>
      <c r="F324" s="1">
        <f t="shared" si="15"/>
        <v>6.2976257950752572</v>
      </c>
      <c r="G324" s="1">
        <v>0.15878999999999999</v>
      </c>
      <c r="H324" s="1">
        <v>284.27999999999997</v>
      </c>
      <c r="I324" s="1">
        <v>1478.7</v>
      </c>
      <c r="J324" s="1">
        <v>1.2967</v>
      </c>
      <c r="K324" s="1">
        <v>5.3990999999999998</v>
      </c>
      <c r="L324" s="1">
        <v>4.7300000000000004</v>
      </c>
      <c r="M324" s="1">
        <v>2.99</v>
      </c>
      <c r="N324" s="1">
        <v>1.446</v>
      </c>
      <c r="O324" s="1">
        <v>1399</v>
      </c>
      <c r="P324" s="1">
        <v>404.4</v>
      </c>
      <c r="Q324" s="1">
        <v>141.1</v>
      </c>
      <c r="R324" s="1">
        <v>9.61</v>
      </c>
      <c r="S324" s="1">
        <v>505.6</v>
      </c>
      <c r="T324" s="1">
        <v>25.27</v>
      </c>
      <c r="U324" s="1">
        <v>27.01</v>
      </c>
      <c r="V324" s="1">
        <v>18</v>
      </c>
    </row>
    <row r="325" spans="2:22">
      <c r="B325" s="1">
        <v>20</v>
      </c>
      <c r="C325" s="1">
        <v>0.85748000000000002</v>
      </c>
      <c r="D325" s="108">
        <f t="shared" si="14"/>
        <v>124.36718424000001</v>
      </c>
      <c r="E325" s="1">
        <v>610.20000000000005</v>
      </c>
      <c r="F325" s="1">
        <f t="shared" si="15"/>
        <v>6.7024128686327078</v>
      </c>
      <c r="G325" s="1">
        <v>0.1492</v>
      </c>
      <c r="H325" s="1">
        <v>293.77999999999997</v>
      </c>
      <c r="I325" s="1">
        <v>1480.16</v>
      </c>
      <c r="J325" s="1">
        <v>1.3289</v>
      </c>
      <c r="K325" s="1">
        <v>5.3758999999999997</v>
      </c>
      <c r="L325" s="1">
        <v>4.7450000000000001</v>
      </c>
      <c r="M325" s="1">
        <v>3.03</v>
      </c>
      <c r="N325" s="1">
        <v>1.4530000000000001</v>
      </c>
      <c r="O325" s="1">
        <v>1384</v>
      </c>
      <c r="P325" s="1">
        <v>404.6</v>
      </c>
      <c r="Q325" s="1">
        <v>138.30000000000001</v>
      </c>
      <c r="R325" s="1">
        <v>9.68</v>
      </c>
      <c r="S325" s="1">
        <v>499.9</v>
      </c>
      <c r="T325" s="1">
        <v>25.52</v>
      </c>
      <c r="U325" s="1">
        <v>26.38</v>
      </c>
      <c r="V325" s="1">
        <v>20</v>
      </c>
    </row>
    <row r="326" spans="2:22">
      <c r="B326" s="1">
        <v>22</v>
      </c>
      <c r="C326" s="1">
        <v>0.91369</v>
      </c>
      <c r="D326" s="108">
        <f t="shared" si="14"/>
        <v>132.51977022</v>
      </c>
      <c r="E326" s="1">
        <v>607.20000000000005</v>
      </c>
      <c r="F326" s="1">
        <f t="shared" si="15"/>
        <v>7.1280918098225108</v>
      </c>
      <c r="G326" s="1">
        <v>0.14029</v>
      </c>
      <c r="H326" s="1">
        <v>303.31</v>
      </c>
      <c r="I326" s="1">
        <v>1481.53</v>
      </c>
      <c r="J326" s="1">
        <v>1.361</v>
      </c>
      <c r="K326" s="1">
        <v>5.3529</v>
      </c>
      <c r="L326" s="1">
        <v>4.76</v>
      </c>
      <c r="M326" s="1">
        <v>3.0710000000000002</v>
      </c>
      <c r="N326" s="1">
        <v>1.46</v>
      </c>
      <c r="O326" s="1">
        <v>1370</v>
      </c>
      <c r="P326" s="1">
        <v>404.8</v>
      </c>
      <c r="Q326" s="1">
        <v>135.6</v>
      </c>
      <c r="R326" s="1">
        <v>9.74</v>
      </c>
      <c r="S326" s="1">
        <v>494.1</v>
      </c>
      <c r="T326" s="1">
        <v>25.77</v>
      </c>
      <c r="U326" s="1">
        <v>25.75</v>
      </c>
      <c r="V326" s="1">
        <v>22</v>
      </c>
    </row>
    <row r="327" spans="2:22">
      <c r="B327" s="1">
        <v>24</v>
      </c>
      <c r="C327" s="1">
        <v>0.97267999999999999</v>
      </c>
      <c r="D327" s="108">
        <f t="shared" si="14"/>
        <v>141.07556184000001</v>
      </c>
      <c r="E327" s="1">
        <v>604.29999999999995</v>
      </c>
      <c r="F327" s="1">
        <f t="shared" si="15"/>
        <v>7.5751836982046825</v>
      </c>
      <c r="G327" s="1">
        <v>0.13200999999999999</v>
      </c>
      <c r="H327" s="1">
        <v>312.87</v>
      </c>
      <c r="I327" s="1">
        <v>1482.82</v>
      </c>
      <c r="J327" s="1">
        <v>1.3929</v>
      </c>
      <c r="K327" s="1">
        <v>5.3300999999999998</v>
      </c>
      <c r="L327" s="1">
        <v>4.7759999999999998</v>
      </c>
      <c r="M327" s="1">
        <v>3.113</v>
      </c>
      <c r="N327" s="1">
        <v>1.468</v>
      </c>
      <c r="O327" s="1">
        <v>1355</v>
      </c>
      <c r="P327" s="1">
        <v>404.9</v>
      </c>
      <c r="Q327" s="1">
        <v>133</v>
      </c>
      <c r="R327" s="1">
        <v>9.8000000000000007</v>
      </c>
      <c r="S327" s="1">
        <v>488.4</v>
      </c>
      <c r="T327" s="1">
        <v>26.03</v>
      </c>
      <c r="U327" s="1">
        <v>25.12</v>
      </c>
      <c r="V327" s="1">
        <v>24</v>
      </c>
    </row>
    <row r="328" spans="2:22">
      <c r="B328" s="1">
        <v>26</v>
      </c>
      <c r="C328" s="1">
        <v>1.0345</v>
      </c>
      <c r="D328" s="108">
        <f t="shared" si="14"/>
        <v>150.041811</v>
      </c>
      <c r="E328" s="1">
        <v>601.29999999999995</v>
      </c>
      <c r="F328" s="1">
        <f t="shared" si="15"/>
        <v>8.0444051162416539</v>
      </c>
      <c r="G328" s="1">
        <v>0.12431</v>
      </c>
      <c r="H328" s="1">
        <v>322.47000000000003</v>
      </c>
      <c r="I328" s="1">
        <v>1484.02</v>
      </c>
      <c r="J328" s="1">
        <v>1.4248000000000001</v>
      </c>
      <c r="K328" s="1">
        <v>5.3075999999999999</v>
      </c>
      <c r="L328" s="1">
        <v>4.7930000000000001</v>
      </c>
      <c r="M328" s="1">
        <v>3.1579999999999999</v>
      </c>
      <c r="N328" s="1">
        <v>1.4750000000000001</v>
      </c>
      <c r="O328" s="1">
        <v>1340</v>
      </c>
      <c r="P328" s="1">
        <v>404.9</v>
      </c>
      <c r="Q328" s="1">
        <v>130.4</v>
      </c>
      <c r="R328" s="1">
        <v>9.8699999999999992</v>
      </c>
      <c r="S328" s="1">
        <v>482.7</v>
      </c>
      <c r="T328" s="1">
        <v>26.29</v>
      </c>
      <c r="U328" s="1">
        <v>24.5</v>
      </c>
      <c r="V328" s="1">
        <v>26</v>
      </c>
    </row>
    <row r="329" spans="2:22">
      <c r="B329" s="1">
        <v>28</v>
      </c>
      <c r="C329" s="1">
        <v>1.0992999999999999</v>
      </c>
      <c r="D329" s="108">
        <f t="shared" ref="D329:D392" si="16">C329*145.038</f>
        <v>159.4402734</v>
      </c>
      <c r="E329" s="1">
        <v>598.20000000000005</v>
      </c>
      <c r="F329" s="1">
        <f t="shared" ref="F329:F392" si="17">1/G329</f>
        <v>8.5367935803312278</v>
      </c>
      <c r="G329" s="1">
        <v>0.11713999999999999</v>
      </c>
      <c r="H329" s="1">
        <v>332.09</v>
      </c>
      <c r="I329" s="1">
        <v>1485.14</v>
      </c>
      <c r="J329" s="1">
        <v>1.4564999999999999</v>
      </c>
      <c r="K329" s="1">
        <v>5.2853000000000003</v>
      </c>
      <c r="L329" s="1">
        <v>4.8099999999999996</v>
      </c>
      <c r="M329" s="1">
        <v>3.2029999999999998</v>
      </c>
      <c r="N329" s="1">
        <v>1.484</v>
      </c>
      <c r="O329" s="1">
        <v>1324</v>
      </c>
      <c r="P329" s="1">
        <v>405</v>
      </c>
      <c r="Q329" s="1">
        <v>127.9</v>
      </c>
      <c r="R329" s="1">
        <v>9.93</v>
      </c>
      <c r="S329" s="1">
        <v>477</v>
      </c>
      <c r="T329" s="1">
        <v>26.57</v>
      </c>
      <c r="U329" s="1">
        <v>23.89</v>
      </c>
      <c r="V329" s="1">
        <v>28</v>
      </c>
    </row>
    <row r="330" spans="2:22">
      <c r="B330" s="1">
        <v>30</v>
      </c>
      <c r="C330" s="1">
        <v>1.1672</v>
      </c>
      <c r="D330" s="108">
        <f t="shared" si="16"/>
        <v>169.28835360000002</v>
      </c>
      <c r="E330" s="1">
        <v>595.20000000000005</v>
      </c>
      <c r="F330" s="1">
        <f t="shared" si="17"/>
        <v>9.0530508781459353</v>
      </c>
      <c r="G330" s="1">
        <v>0.11046</v>
      </c>
      <c r="H330" s="1">
        <v>341.76</v>
      </c>
      <c r="I330" s="1">
        <v>1486.17</v>
      </c>
      <c r="J330" s="1">
        <v>1.4881</v>
      </c>
      <c r="K330" s="1">
        <v>5.2630999999999997</v>
      </c>
      <c r="L330" s="1">
        <v>4.8280000000000003</v>
      </c>
      <c r="M330" s="1">
        <v>3.25</v>
      </c>
      <c r="N330" s="1">
        <v>1.492</v>
      </c>
      <c r="O330" s="1">
        <v>1309</v>
      </c>
      <c r="P330" s="1">
        <v>404.9</v>
      </c>
      <c r="Q330" s="1">
        <v>125.5</v>
      </c>
      <c r="R330" s="1">
        <v>10</v>
      </c>
      <c r="S330" s="1">
        <v>471.4</v>
      </c>
      <c r="T330" s="1">
        <v>26.85</v>
      </c>
      <c r="U330" s="1">
        <v>23.28</v>
      </c>
      <c r="V330" s="1">
        <v>30</v>
      </c>
    </row>
    <row r="331" spans="2:22">
      <c r="B331" s="1">
        <v>32</v>
      </c>
      <c r="C331" s="1">
        <v>1.2382</v>
      </c>
      <c r="D331" s="108">
        <f t="shared" si="16"/>
        <v>179.58605160000002</v>
      </c>
      <c r="E331" s="1">
        <v>592.1</v>
      </c>
      <c r="F331" s="1">
        <f t="shared" si="17"/>
        <v>9.5950873152945704</v>
      </c>
      <c r="G331" s="1">
        <v>0.10421999999999999</v>
      </c>
      <c r="H331" s="1">
        <v>351.45</v>
      </c>
      <c r="I331" s="1">
        <v>1487.11</v>
      </c>
      <c r="J331" s="1">
        <v>1.5196000000000001</v>
      </c>
      <c r="K331" s="1">
        <v>5.2412000000000001</v>
      </c>
      <c r="L331" s="1">
        <v>4.8470000000000004</v>
      </c>
      <c r="M331" s="1">
        <v>3.2989999999999999</v>
      </c>
      <c r="N331" s="1">
        <v>1.5009999999999999</v>
      </c>
      <c r="O331" s="1">
        <v>1294</v>
      </c>
      <c r="P331" s="1">
        <v>404.8</v>
      </c>
      <c r="Q331" s="1">
        <v>123.1</v>
      </c>
      <c r="R331" s="1">
        <v>10.06</v>
      </c>
      <c r="S331" s="1">
        <v>465.7</v>
      </c>
      <c r="T331" s="1">
        <v>27.14</v>
      </c>
      <c r="U331" s="1">
        <v>22.67</v>
      </c>
      <c r="V331" s="1">
        <v>32</v>
      </c>
    </row>
    <row r="332" spans="2:22">
      <c r="B332" s="1">
        <v>34</v>
      </c>
      <c r="C332" s="1">
        <v>1.3124</v>
      </c>
      <c r="D332" s="108">
        <f t="shared" si="16"/>
        <v>190.34787120000001</v>
      </c>
      <c r="E332" s="1">
        <v>589</v>
      </c>
      <c r="F332" s="1">
        <f t="shared" si="17"/>
        <v>10.16260162601626</v>
      </c>
      <c r="G332" s="1">
        <v>9.8400000000000001E-2</v>
      </c>
      <c r="H332" s="1">
        <v>361.19</v>
      </c>
      <c r="I332" s="1">
        <v>1487.95</v>
      </c>
      <c r="J332" s="1">
        <v>1.5508999999999999</v>
      </c>
      <c r="K332" s="1">
        <v>5.2194000000000003</v>
      </c>
      <c r="L332" s="1">
        <v>4.867</v>
      </c>
      <c r="M332" s="1">
        <v>3.3490000000000002</v>
      </c>
      <c r="N332" s="1">
        <v>1.51</v>
      </c>
      <c r="O332" s="1">
        <v>1279</v>
      </c>
      <c r="P332" s="1">
        <v>404.7</v>
      </c>
      <c r="Q332" s="1">
        <v>120.7</v>
      </c>
      <c r="R332" s="1">
        <v>10.130000000000001</v>
      </c>
      <c r="S332" s="1">
        <v>460.1</v>
      </c>
      <c r="T332" s="1">
        <v>27.43</v>
      </c>
      <c r="U332" s="1">
        <v>22.07</v>
      </c>
      <c r="V332" s="1">
        <v>34</v>
      </c>
    </row>
    <row r="333" spans="2:22">
      <c r="B333" s="1">
        <v>36</v>
      </c>
      <c r="C333" s="1">
        <v>1.39</v>
      </c>
      <c r="D333" s="108">
        <f t="shared" si="16"/>
        <v>201.60282000000001</v>
      </c>
      <c r="E333" s="1">
        <v>585.79999999999995</v>
      </c>
      <c r="F333" s="1">
        <f t="shared" si="17"/>
        <v>10.757314974182444</v>
      </c>
      <c r="G333" s="1">
        <v>9.2960000000000001E-2</v>
      </c>
      <c r="H333" s="1">
        <v>370.96</v>
      </c>
      <c r="I333" s="1">
        <v>1488.7</v>
      </c>
      <c r="J333" s="1">
        <v>1.5822000000000001</v>
      </c>
      <c r="K333" s="1">
        <v>5.1978</v>
      </c>
      <c r="L333" s="1">
        <v>4.8879999999999999</v>
      </c>
      <c r="M333" s="1">
        <v>3.4009999999999998</v>
      </c>
      <c r="N333" s="1">
        <v>1.52</v>
      </c>
      <c r="O333" s="1">
        <v>1263</v>
      </c>
      <c r="P333" s="1">
        <v>404.5</v>
      </c>
      <c r="Q333" s="1">
        <v>118.4</v>
      </c>
      <c r="R333" s="1">
        <v>10.19</v>
      </c>
      <c r="S333" s="1">
        <v>454.6</v>
      </c>
      <c r="T333" s="1">
        <v>27.74</v>
      </c>
      <c r="U333" s="1">
        <v>21.47</v>
      </c>
      <c r="V333" s="1">
        <v>36</v>
      </c>
    </row>
    <row r="334" spans="2:22">
      <c r="B334" s="1">
        <v>38</v>
      </c>
      <c r="C334" s="1">
        <v>1.4709000000000001</v>
      </c>
      <c r="D334" s="108">
        <f t="shared" si="16"/>
        <v>213.33639420000003</v>
      </c>
      <c r="E334" s="1">
        <v>582.6</v>
      </c>
      <c r="F334" s="1">
        <f t="shared" si="17"/>
        <v>11.380448389666553</v>
      </c>
      <c r="G334" s="1">
        <v>8.7870000000000004E-2</v>
      </c>
      <c r="H334" s="1">
        <v>380.78</v>
      </c>
      <c r="I334" s="1">
        <v>1489.36</v>
      </c>
      <c r="J334" s="1">
        <v>1.6133999999999999</v>
      </c>
      <c r="K334" s="1">
        <v>5.1763000000000003</v>
      </c>
      <c r="L334" s="1">
        <v>4.9089999999999998</v>
      </c>
      <c r="M334" s="1">
        <v>3.4550000000000001</v>
      </c>
      <c r="N334" s="1">
        <v>1.53</v>
      </c>
      <c r="O334" s="1">
        <v>1248</v>
      </c>
      <c r="P334" s="1">
        <v>404.3</v>
      </c>
      <c r="Q334" s="1">
        <v>116.2</v>
      </c>
      <c r="R334" s="1">
        <v>10.26</v>
      </c>
      <c r="S334" s="1">
        <v>449.1</v>
      </c>
      <c r="T334" s="1">
        <v>28.05</v>
      </c>
      <c r="U334" s="1">
        <v>20.88</v>
      </c>
      <c r="V334" s="1">
        <v>38</v>
      </c>
    </row>
    <row r="335" spans="2:22">
      <c r="B335" s="1">
        <v>40</v>
      </c>
      <c r="C335" s="1">
        <v>1.5553999999999999</v>
      </c>
      <c r="D335" s="108">
        <f t="shared" si="16"/>
        <v>225.59210519999999</v>
      </c>
      <c r="E335" s="1">
        <v>579.4</v>
      </c>
      <c r="F335" s="1">
        <f t="shared" si="17"/>
        <v>12.03369434416366</v>
      </c>
      <c r="G335" s="1">
        <v>8.3099999999999993E-2</v>
      </c>
      <c r="H335" s="1">
        <v>390.64</v>
      </c>
      <c r="I335" s="1">
        <v>1489.91</v>
      </c>
      <c r="J335" s="1">
        <v>1.6446000000000001</v>
      </c>
      <c r="K335" s="1">
        <v>5.1548999999999996</v>
      </c>
      <c r="L335" s="1">
        <v>4.9320000000000004</v>
      </c>
      <c r="M335" s="1">
        <v>3.51</v>
      </c>
      <c r="N335" s="1">
        <v>1.5409999999999999</v>
      </c>
      <c r="O335" s="1">
        <v>1232</v>
      </c>
      <c r="P335" s="1">
        <v>404</v>
      </c>
      <c r="Q335" s="1">
        <v>114</v>
      </c>
      <c r="R335" s="1">
        <v>10.33</v>
      </c>
      <c r="S335" s="1">
        <v>443.5</v>
      </c>
      <c r="T335" s="1">
        <v>28.38</v>
      </c>
      <c r="U335" s="1">
        <v>20.29</v>
      </c>
      <c r="V335" s="1">
        <v>40</v>
      </c>
    </row>
    <row r="336" spans="2:22">
      <c r="B336" s="1">
        <v>42</v>
      </c>
      <c r="C336" s="1">
        <v>1.6435</v>
      </c>
      <c r="D336" s="108">
        <f t="shared" si="16"/>
        <v>238.36995300000001</v>
      </c>
      <c r="E336" s="1">
        <v>576.20000000000005</v>
      </c>
      <c r="F336" s="1">
        <f t="shared" si="17"/>
        <v>12.717792191275594</v>
      </c>
      <c r="G336" s="1">
        <v>7.8630000000000005E-2</v>
      </c>
      <c r="H336" s="1">
        <v>400.54</v>
      </c>
      <c r="I336" s="1">
        <v>1490.36</v>
      </c>
      <c r="J336" s="1">
        <v>1.6756</v>
      </c>
      <c r="K336" s="1">
        <v>5.1337000000000002</v>
      </c>
      <c r="L336" s="1">
        <v>4.9560000000000004</v>
      </c>
      <c r="M336" s="1">
        <v>3.5680000000000001</v>
      </c>
      <c r="N336" s="1">
        <v>1.5529999999999999</v>
      </c>
      <c r="O336" s="1">
        <v>1216</v>
      </c>
      <c r="P336" s="1">
        <v>403.7</v>
      </c>
      <c r="Q336" s="1">
        <v>111.9</v>
      </c>
      <c r="R336" s="1">
        <v>10.39</v>
      </c>
      <c r="S336" s="1">
        <v>438</v>
      </c>
      <c r="T336" s="1">
        <v>28.71</v>
      </c>
      <c r="U336" s="1">
        <v>19.71</v>
      </c>
      <c r="V336" s="1">
        <v>42</v>
      </c>
    </row>
    <row r="337" spans="2:22">
      <c r="B337" s="1">
        <v>44</v>
      </c>
      <c r="C337" s="1">
        <v>1.7353000000000001</v>
      </c>
      <c r="D337" s="108">
        <f t="shared" si="16"/>
        <v>251.68444140000003</v>
      </c>
      <c r="E337" s="1">
        <v>572.9</v>
      </c>
      <c r="F337" s="1">
        <f t="shared" si="17"/>
        <v>13.431833445265278</v>
      </c>
      <c r="G337" s="1">
        <v>7.4450000000000002E-2</v>
      </c>
      <c r="H337" s="1">
        <v>410.48</v>
      </c>
      <c r="I337" s="1">
        <v>1490.7</v>
      </c>
      <c r="J337" s="1">
        <v>1.7064999999999999</v>
      </c>
      <c r="K337" s="1">
        <v>5.1125999999999996</v>
      </c>
      <c r="L337" s="1">
        <v>4.9809999999999999</v>
      </c>
      <c r="M337" s="1">
        <v>3.6280000000000001</v>
      </c>
      <c r="N337" s="1">
        <v>1.5649999999999999</v>
      </c>
      <c r="O337" s="1">
        <v>1201</v>
      </c>
      <c r="P337" s="1">
        <v>403.3</v>
      </c>
      <c r="Q337" s="1">
        <v>109.8</v>
      </c>
      <c r="R337" s="1">
        <v>10.46</v>
      </c>
      <c r="S337" s="1">
        <v>432.6</v>
      </c>
      <c r="T337" s="1">
        <v>29.06</v>
      </c>
      <c r="U337" s="1">
        <v>19.13</v>
      </c>
      <c r="V337" s="1">
        <v>44</v>
      </c>
    </row>
    <row r="338" spans="2:22">
      <c r="B338" s="1">
        <v>46</v>
      </c>
      <c r="C338" s="1">
        <v>1.831</v>
      </c>
      <c r="D338" s="108">
        <f t="shared" si="16"/>
        <v>265.56457800000004</v>
      </c>
      <c r="E338" s="1">
        <v>569.6</v>
      </c>
      <c r="F338" s="1">
        <f t="shared" si="17"/>
        <v>14.180374361883153</v>
      </c>
      <c r="G338" s="1">
        <v>7.0519999999999999E-2</v>
      </c>
      <c r="H338" s="1">
        <v>420.48</v>
      </c>
      <c r="I338" s="1">
        <v>1490.94</v>
      </c>
      <c r="J338" s="1">
        <v>1.7374000000000001</v>
      </c>
      <c r="K338" s="1">
        <v>5.0914999999999999</v>
      </c>
      <c r="L338" s="1">
        <v>5.0069999999999997</v>
      </c>
      <c r="M338" s="1">
        <v>3.6909999999999998</v>
      </c>
      <c r="N338" s="1">
        <v>1.577</v>
      </c>
      <c r="O338" s="1">
        <v>1185</v>
      </c>
      <c r="P338" s="1">
        <v>402.9</v>
      </c>
      <c r="Q338" s="1">
        <v>107.8</v>
      </c>
      <c r="R338" s="1">
        <v>10.53</v>
      </c>
      <c r="S338" s="1">
        <v>427.1</v>
      </c>
      <c r="T338" s="1">
        <v>29.41</v>
      </c>
      <c r="U338" s="1">
        <v>18.559999999999999</v>
      </c>
      <c r="V338" s="1">
        <v>46</v>
      </c>
    </row>
    <row r="339" spans="2:22">
      <c r="B339" s="1">
        <v>48</v>
      </c>
      <c r="C339" s="1">
        <v>1.9305000000000001</v>
      </c>
      <c r="D339" s="108">
        <f t="shared" si="16"/>
        <v>279.99585900000005</v>
      </c>
      <c r="E339" s="1">
        <v>566.29999999999995</v>
      </c>
      <c r="F339" s="1">
        <f t="shared" si="17"/>
        <v>14.965579167913797</v>
      </c>
      <c r="G339" s="1">
        <v>6.6820000000000004E-2</v>
      </c>
      <c r="H339" s="1">
        <v>430.52</v>
      </c>
      <c r="I339" s="1">
        <v>1491.06</v>
      </c>
      <c r="J339" s="1">
        <v>1.7683</v>
      </c>
      <c r="K339" s="1">
        <v>5.0705999999999998</v>
      </c>
      <c r="L339" s="1">
        <v>5.0339999999999998</v>
      </c>
      <c r="M339" s="1">
        <v>3.7559999999999998</v>
      </c>
      <c r="N339" s="1">
        <v>1.591</v>
      </c>
      <c r="O339" s="1">
        <v>1169</v>
      </c>
      <c r="P339" s="1">
        <v>402.4</v>
      </c>
      <c r="Q339" s="1">
        <v>105.8</v>
      </c>
      <c r="R339" s="1">
        <v>10.6</v>
      </c>
      <c r="S339" s="1">
        <v>421.7</v>
      </c>
      <c r="T339" s="1">
        <v>29.78</v>
      </c>
      <c r="U339" s="1">
        <v>17.989999999999998</v>
      </c>
      <c r="V339" s="1">
        <v>48</v>
      </c>
    </row>
    <row r="340" spans="2:22">
      <c r="B340" s="1">
        <v>50</v>
      </c>
      <c r="C340" s="1">
        <v>2.0339999999999998</v>
      </c>
      <c r="D340" s="108">
        <f t="shared" si="16"/>
        <v>295.00729200000001</v>
      </c>
      <c r="E340" s="1">
        <v>562.9</v>
      </c>
      <c r="F340" s="1">
        <f t="shared" si="17"/>
        <v>15.785319652722967</v>
      </c>
      <c r="G340" s="1">
        <v>6.3350000000000004E-2</v>
      </c>
      <c r="H340" s="1">
        <v>440.62</v>
      </c>
      <c r="I340" s="1">
        <v>1491.07</v>
      </c>
      <c r="J340" s="1">
        <v>1.7989999999999999</v>
      </c>
      <c r="K340" s="1">
        <v>5.0496999999999996</v>
      </c>
      <c r="L340" s="1">
        <v>5.0640000000000001</v>
      </c>
      <c r="M340" s="1">
        <v>3.823</v>
      </c>
      <c r="N340" s="1">
        <v>1.605</v>
      </c>
      <c r="O340" s="1">
        <v>1153</v>
      </c>
      <c r="P340" s="1">
        <v>401.9</v>
      </c>
      <c r="Q340" s="1">
        <v>103.8</v>
      </c>
      <c r="R340" s="1">
        <v>10.67</v>
      </c>
      <c r="S340" s="1">
        <v>416.3</v>
      </c>
      <c r="T340" s="1">
        <v>30.16</v>
      </c>
      <c r="U340" s="1">
        <v>17.43</v>
      </c>
      <c r="V340" s="1">
        <v>50</v>
      </c>
    </row>
    <row r="341" spans="2:22">
      <c r="B341" s="1">
        <v>55</v>
      </c>
      <c r="C341" s="1">
        <v>2.3111000000000002</v>
      </c>
      <c r="D341" s="108">
        <f t="shared" si="16"/>
        <v>335.19732180000005</v>
      </c>
      <c r="E341" s="1">
        <v>554.20000000000005</v>
      </c>
      <c r="F341" s="1">
        <f t="shared" si="17"/>
        <v>18.005041411595247</v>
      </c>
      <c r="G341" s="1">
        <v>5.5539999999999999E-2</v>
      </c>
      <c r="H341" s="1">
        <v>466.1</v>
      </c>
      <c r="I341" s="1">
        <v>1490.57</v>
      </c>
      <c r="J341" s="1">
        <v>1.8757999999999999</v>
      </c>
      <c r="K341" s="1">
        <v>4.9977</v>
      </c>
      <c r="L341" s="1">
        <v>5.1429999999999998</v>
      </c>
      <c r="M341" s="1">
        <v>4.0049999999999999</v>
      </c>
      <c r="N341" s="1">
        <v>1.643</v>
      </c>
      <c r="O341" s="1">
        <v>1112</v>
      </c>
      <c r="P341" s="1">
        <v>400.3</v>
      </c>
      <c r="Q341" s="1">
        <v>99</v>
      </c>
      <c r="R341" s="1">
        <v>10.86</v>
      </c>
      <c r="S341" s="1">
        <v>402.9</v>
      </c>
      <c r="T341" s="1">
        <v>31.16</v>
      </c>
      <c r="U341" s="1">
        <v>16.04</v>
      </c>
      <c r="V341" s="1">
        <v>55</v>
      </c>
    </row>
    <row r="342" spans="2:22">
      <c r="B342" s="1">
        <v>60</v>
      </c>
      <c r="C342" s="1">
        <v>2.6156000000000001</v>
      </c>
      <c r="D342" s="108">
        <f t="shared" si="16"/>
        <v>379.36139280000003</v>
      </c>
      <c r="E342" s="1">
        <v>545.20000000000005</v>
      </c>
      <c r="F342" s="1">
        <f t="shared" si="17"/>
        <v>20.491803278688522</v>
      </c>
      <c r="G342" s="1">
        <v>4.8800000000000003E-2</v>
      </c>
      <c r="H342" s="1">
        <v>491.97</v>
      </c>
      <c r="I342" s="1">
        <v>1489.27</v>
      </c>
      <c r="J342" s="1">
        <v>1.9522999999999999</v>
      </c>
      <c r="K342" s="1">
        <v>4.9458000000000002</v>
      </c>
      <c r="L342" s="1">
        <v>5.2350000000000003</v>
      </c>
      <c r="M342" s="1">
        <v>4.2080000000000002</v>
      </c>
      <c r="N342" s="1">
        <v>1.6870000000000001</v>
      </c>
      <c r="O342" s="1">
        <v>1070</v>
      </c>
      <c r="P342" s="1">
        <v>398.3</v>
      </c>
      <c r="Q342" s="1">
        <v>94.5</v>
      </c>
      <c r="R342" s="1">
        <v>11.05</v>
      </c>
      <c r="S342" s="1">
        <v>389.6</v>
      </c>
      <c r="T342" s="1">
        <v>32.26</v>
      </c>
      <c r="U342" s="1">
        <v>14.69</v>
      </c>
      <c r="V342" s="1">
        <v>60</v>
      </c>
    </row>
    <row r="343" spans="2:22">
      <c r="B343" s="1">
        <v>65</v>
      </c>
      <c r="C343" s="1">
        <v>2.9491000000000001</v>
      </c>
      <c r="D343" s="108">
        <f t="shared" si="16"/>
        <v>427.73156580000006</v>
      </c>
      <c r="E343" s="1">
        <v>536</v>
      </c>
      <c r="F343" s="1">
        <f t="shared" si="17"/>
        <v>23.277467411545626</v>
      </c>
      <c r="G343" s="1">
        <v>4.2959999999999998E-2</v>
      </c>
      <c r="H343" s="1">
        <v>518.26</v>
      </c>
      <c r="I343" s="1">
        <v>1487.09</v>
      </c>
      <c r="J343" s="1">
        <v>2.0287999999999999</v>
      </c>
      <c r="K343" s="1">
        <v>4.8939000000000004</v>
      </c>
      <c r="L343" s="1">
        <v>5.3410000000000002</v>
      </c>
      <c r="M343" s="1">
        <v>4.4379999999999997</v>
      </c>
      <c r="N343" s="1">
        <v>1.7390000000000001</v>
      </c>
      <c r="O343" s="1">
        <v>1028</v>
      </c>
      <c r="P343" s="1">
        <v>396</v>
      </c>
      <c r="Q343" s="1">
        <v>90.1</v>
      </c>
      <c r="R343" s="1">
        <v>11.25</v>
      </c>
      <c r="S343" s="1">
        <v>376.4</v>
      </c>
      <c r="T343" s="1">
        <v>33.47</v>
      </c>
      <c r="U343" s="1">
        <v>13.37</v>
      </c>
      <c r="V343" s="1">
        <v>65</v>
      </c>
    </row>
    <row r="344" spans="2:22">
      <c r="B344" s="1">
        <v>70</v>
      </c>
      <c r="C344" s="1">
        <v>3.3134999999999999</v>
      </c>
      <c r="D344" s="108">
        <f t="shared" si="16"/>
        <v>480.58341300000001</v>
      </c>
      <c r="E344" s="1">
        <v>526.29999999999995</v>
      </c>
      <c r="F344" s="1">
        <f t="shared" si="17"/>
        <v>26.406126221283337</v>
      </c>
      <c r="G344" s="1">
        <v>3.7870000000000001E-2</v>
      </c>
      <c r="H344" s="1">
        <v>545.04</v>
      </c>
      <c r="I344" s="1">
        <v>1483.94</v>
      </c>
      <c r="J344" s="1">
        <v>2.1053999999999999</v>
      </c>
      <c r="K344" s="1">
        <v>4.8414999999999999</v>
      </c>
      <c r="L344" s="1">
        <v>5.4649999999999999</v>
      </c>
      <c r="M344" s="1">
        <v>4.6989999999999998</v>
      </c>
      <c r="N344" s="1">
        <v>1.7989999999999999</v>
      </c>
      <c r="O344" s="1">
        <v>984</v>
      </c>
      <c r="P344" s="1">
        <v>393.3</v>
      </c>
      <c r="Q344" s="1">
        <v>85.9</v>
      </c>
      <c r="R344" s="1">
        <v>11.47</v>
      </c>
      <c r="S344" s="1">
        <v>363.2</v>
      </c>
      <c r="T344" s="1">
        <v>34.799999999999997</v>
      </c>
      <c r="U344" s="1">
        <v>12.08</v>
      </c>
      <c r="V344" s="1">
        <v>70</v>
      </c>
    </row>
    <row r="345" spans="2:22">
      <c r="B345" s="1">
        <v>75</v>
      </c>
      <c r="C345" s="1">
        <v>3.7105000000000001</v>
      </c>
      <c r="D345" s="108">
        <f t="shared" si="16"/>
        <v>538.16349900000012</v>
      </c>
      <c r="E345" s="1">
        <v>516.20000000000005</v>
      </c>
      <c r="F345" s="1">
        <f t="shared" si="17"/>
        <v>29.922202274087375</v>
      </c>
      <c r="G345" s="1">
        <v>3.3419999999999998E-2</v>
      </c>
      <c r="H345" s="1">
        <v>572.37</v>
      </c>
      <c r="I345" s="1">
        <v>1479.72</v>
      </c>
      <c r="J345" s="1">
        <v>2.1823000000000001</v>
      </c>
      <c r="K345" s="1">
        <v>4.7885</v>
      </c>
      <c r="L345" s="1">
        <v>5.61</v>
      </c>
      <c r="M345" s="1">
        <v>5.0010000000000003</v>
      </c>
      <c r="N345" s="1">
        <v>1.87</v>
      </c>
      <c r="O345" s="1">
        <v>940</v>
      </c>
      <c r="P345" s="1">
        <v>390.1</v>
      </c>
      <c r="Q345" s="1">
        <v>81.900000000000006</v>
      </c>
      <c r="R345" s="1">
        <v>11.7</v>
      </c>
      <c r="S345" s="1">
        <v>350.2</v>
      </c>
      <c r="T345" s="1">
        <v>36.299999999999997</v>
      </c>
      <c r="U345" s="1">
        <v>10.83</v>
      </c>
      <c r="V345" s="1">
        <v>75</v>
      </c>
    </row>
    <row r="346" spans="2:22">
      <c r="B346" s="1">
        <v>80</v>
      </c>
      <c r="C346" s="1">
        <v>4.1420000000000003</v>
      </c>
      <c r="D346" s="108">
        <f t="shared" si="16"/>
        <v>600.74739600000009</v>
      </c>
      <c r="E346" s="1">
        <v>505.7</v>
      </c>
      <c r="F346" s="1">
        <f t="shared" si="17"/>
        <v>33.886818027787186</v>
      </c>
      <c r="G346" s="1">
        <v>2.9510000000000002E-2</v>
      </c>
      <c r="H346" s="1">
        <v>600.34</v>
      </c>
      <c r="I346" s="1">
        <v>1474.31</v>
      </c>
      <c r="J346" s="1">
        <v>2.2595999999999998</v>
      </c>
      <c r="K346" s="1">
        <v>4.7343999999999999</v>
      </c>
      <c r="L346" s="1">
        <v>5.7839999999999998</v>
      </c>
      <c r="M346" s="1">
        <v>5.3550000000000004</v>
      </c>
      <c r="N346" s="1">
        <v>1.9550000000000001</v>
      </c>
      <c r="O346" s="1">
        <v>895</v>
      </c>
      <c r="P346" s="1">
        <v>386.5</v>
      </c>
      <c r="Q346" s="1">
        <v>78</v>
      </c>
      <c r="R346" s="1">
        <v>11.95</v>
      </c>
      <c r="S346" s="1">
        <v>337.1</v>
      </c>
      <c r="T346" s="1">
        <v>38</v>
      </c>
      <c r="U346" s="1">
        <v>9.61</v>
      </c>
      <c r="V346" s="1">
        <v>80</v>
      </c>
    </row>
    <row r="347" spans="2:22">
      <c r="B347" s="1">
        <v>85</v>
      </c>
      <c r="C347" s="1">
        <v>4.6100000000000003</v>
      </c>
      <c r="D347" s="108">
        <f t="shared" si="16"/>
        <v>668.62518000000011</v>
      </c>
      <c r="E347" s="1">
        <v>494.5</v>
      </c>
      <c r="F347" s="1">
        <f t="shared" si="17"/>
        <v>38.372985418265543</v>
      </c>
      <c r="G347" s="1">
        <v>2.606E-2</v>
      </c>
      <c r="H347" s="1">
        <v>629.04</v>
      </c>
      <c r="I347" s="1">
        <v>1467.53</v>
      </c>
      <c r="J347" s="1">
        <v>2.3376999999999999</v>
      </c>
      <c r="K347" s="1">
        <v>4.6788999999999996</v>
      </c>
      <c r="L347" s="1">
        <v>5.9930000000000003</v>
      </c>
      <c r="M347" s="1">
        <v>5.7770000000000001</v>
      </c>
      <c r="N347" s="1">
        <v>2.0579999999999998</v>
      </c>
      <c r="O347" s="1">
        <v>848</v>
      </c>
      <c r="P347" s="1">
        <v>382.5</v>
      </c>
      <c r="Q347" s="1">
        <v>74.2</v>
      </c>
      <c r="R347" s="1">
        <v>12.23</v>
      </c>
      <c r="S347" s="1">
        <v>324.10000000000002</v>
      </c>
      <c r="T347" s="1">
        <v>39.950000000000003</v>
      </c>
      <c r="U347" s="1">
        <v>8.44</v>
      </c>
      <c r="V347" s="1">
        <v>85</v>
      </c>
    </row>
    <row r="348" spans="2:22">
      <c r="B348" s="1">
        <v>90</v>
      </c>
      <c r="C348" s="1">
        <v>5.1166999999999998</v>
      </c>
      <c r="D348" s="108">
        <f t="shared" si="16"/>
        <v>742.11593460000006</v>
      </c>
      <c r="E348" s="1">
        <v>482.8</v>
      </c>
      <c r="F348" s="1">
        <f t="shared" si="17"/>
        <v>43.478260869565219</v>
      </c>
      <c r="G348" s="1">
        <v>2.3E-2</v>
      </c>
      <c r="H348" s="1">
        <v>658.61</v>
      </c>
      <c r="I348" s="1">
        <v>1459.19</v>
      </c>
      <c r="J348" s="1">
        <v>2.4167999999999998</v>
      </c>
      <c r="K348" s="1">
        <v>4.6212999999999997</v>
      </c>
      <c r="L348" s="1">
        <v>6.25</v>
      </c>
      <c r="M348" s="1">
        <v>6.2910000000000004</v>
      </c>
      <c r="N348" s="1">
        <v>2.1869999999999998</v>
      </c>
      <c r="O348" s="1">
        <v>800</v>
      </c>
      <c r="P348" s="1">
        <v>377.9</v>
      </c>
      <c r="Q348" s="1">
        <v>70.5</v>
      </c>
      <c r="R348" s="1">
        <v>12.55</v>
      </c>
      <c r="S348" s="1">
        <v>311</v>
      </c>
      <c r="T348" s="1">
        <v>42.24</v>
      </c>
      <c r="U348" s="1">
        <v>7.3</v>
      </c>
      <c r="V348" s="1">
        <v>90</v>
      </c>
    </row>
    <row r="349" spans="2:22">
      <c r="B349" s="1">
        <v>95</v>
      </c>
      <c r="C349" s="1">
        <v>5.6642999999999999</v>
      </c>
      <c r="D349" s="108">
        <f t="shared" si="16"/>
        <v>821.53874340000004</v>
      </c>
      <c r="E349" s="1">
        <v>470.2</v>
      </c>
      <c r="F349" s="1">
        <f t="shared" si="17"/>
        <v>49.333991119881595</v>
      </c>
      <c r="G349" s="1">
        <v>2.027E-2</v>
      </c>
      <c r="H349" s="1">
        <v>689.19</v>
      </c>
      <c r="I349" s="1">
        <v>1449.01</v>
      </c>
      <c r="J349" s="1">
        <v>2.4973000000000001</v>
      </c>
      <c r="K349" s="1">
        <v>4.5612000000000004</v>
      </c>
      <c r="L349" s="1">
        <v>6.5730000000000004</v>
      </c>
      <c r="M349" s="1">
        <v>6.9329999999999998</v>
      </c>
      <c r="N349" s="1">
        <v>2.3490000000000002</v>
      </c>
      <c r="O349" s="1">
        <v>751</v>
      </c>
      <c r="P349" s="1">
        <v>372.7</v>
      </c>
      <c r="Q349" s="1">
        <v>66.8</v>
      </c>
      <c r="R349" s="1">
        <v>12.91</v>
      </c>
      <c r="S349" s="1">
        <v>297.89999999999998</v>
      </c>
      <c r="T349" s="1">
        <v>44.99</v>
      </c>
      <c r="U349" s="1">
        <v>6.2</v>
      </c>
      <c r="V349" s="1">
        <v>95</v>
      </c>
    </row>
    <row r="350" spans="2:22">
      <c r="B350" s="1">
        <v>100</v>
      </c>
      <c r="C350" s="1">
        <v>6.2553000000000001</v>
      </c>
      <c r="D350" s="108">
        <f t="shared" si="16"/>
        <v>907.25620140000012</v>
      </c>
      <c r="E350" s="1">
        <v>456.6</v>
      </c>
      <c r="F350" s="1">
        <f t="shared" si="17"/>
        <v>56.116722783389456</v>
      </c>
      <c r="G350" s="1">
        <v>1.7819999999999999E-2</v>
      </c>
      <c r="H350" s="1">
        <v>721</v>
      </c>
      <c r="I350" s="1">
        <v>1436.63</v>
      </c>
      <c r="J350" s="1">
        <v>2.5796999999999999</v>
      </c>
      <c r="K350" s="1">
        <v>4.4974999999999996</v>
      </c>
      <c r="L350" s="1">
        <v>6.9909999999999997</v>
      </c>
      <c r="M350" s="1">
        <v>7.7619999999999996</v>
      </c>
      <c r="N350" s="1">
        <v>2.5619999999999998</v>
      </c>
      <c r="O350" s="1">
        <v>701</v>
      </c>
      <c r="P350" s="1">
        <v>367</v>
      </c>
      <c r="Q350" s="1">
        <v>63.2</v>
      </c>
      <c r="R350" s="1">
        <v>13.32</v>
      </c>
      <c r="S350" s="1">
        <v>284.8</v>
      </c>
      <c r="T350" s="1">
        <v>48.36</v>
      </c>
      <c r="U350" s="1">
        <v>5.15</v>
      </c>
      <c r="V350" s="1">
        <v>100</v>
      </c>
    </row>
    <row r="351" spans="2:22">
      <c r="B351" s="1">
        <v>105</v>
      </c>
      <c r="C351" s="1">
        <v>6.8922999999999996</v>
      </c>
      <c r="D351" s="108">
        <f t="shared" si="16"/>
        <v>999.64540740000007</v>
      </c>
      <c r="E351" s="1">
        <v>441.9</v>
      </c>
      <c r="F351" s="1">
        <f t="shared" si="17"/>
        <v>64.061499039077518</v>
      </c>
      <c r="G351" s="1">
        <v>1.5610000000000001E-2</v>
      </c>
      <c r="H351" s="1">
        <v>754.35</v>
      </c>
      <c r="I351" s="1">
        <v>1421.57</v>
      </c>
      <c r="J351" s="1">
        <v>2.6646999999999998</v>
      </c>
      <c r="K351" s="1">
        <v>4.4291</v>
      </c>
      <c r="L351" s="1">
        <v>7.5549999999999997</v>
      </c>
      <c r="M351" s="1">
        <v>8.8770000000000007</v>
      </c>
      <c r="N351" s="1">
        <v>2.851</v>
      </c>
      <c r="O351" s="1">
        <v>649</v>
      </c>
      <c r="P351" s="1">
        <v>360.5</v>
      </c>
      <c r="Q351" s="1">
        <v>59.6</v>
      </c>
      <c r="R351" s="1">
        <v>13.82</v>
      </c>
      <c r="S351" s="1">
        <v>271.5</v>
      </c>
      <c r="T351" s="1">
        <v>52.65</v>
      </c>
      <c r="U351" s="1">
        <v>4.1500000000000004</v>
      </c>
      <c r="V351" s="1">
        <v>105</v>
      </c>
    </row>
    <row r="352" spans="2:22">
      <c r="B352" s="1">
        <v>110</v>
      </c>
      <c r="C352" s="1">
        <v>7.5782999999999996</v>
      </c>
      <c r="D352" s="108">
        <f t="shared" si="16"/>
        <v>1099.1414754</v>
      </c>
      <c r="E352" s="1">
        <v>425.6</v>
      </c>
      <c r="F352" s="1">
        <f t="shared" si="17"/>
        <v>73.529411764705884</v>
      </c>
      <c r="G352" s="1">
        <v>1.3599999999999999E-2</v>
      </c>
      <c r="H352" s="1">
        <v>789.68</v>
      </c>
      <c r="I352" s="1">
        <v>1403.08</v>
      </c>
      <c r="J352" s="1">
        <v>2.7532999999999999</v>
      </c>
      <c r="K352" s="1">
        <v>4.3541999999999996</v>
      </c>
      <c r="L352" s="1">
        <v>8.36</v>
      </c>
      <c r="M352" s="1">
        <v>10.46</v>
      </c>
      <c r="N352" s="1">
        <v>3.26</v>
      </c>
      <c r="O352" s="1">
        <v>594</v>
      </c>
      <c r="P352" s="1">
        <v>353.3</v>
      </c>
      <c r="Q352" s="1">
        <v>56</v>
      </c>
      <c r="R352" s="1">
        <v>14.42</v>
      </c>
      <c r="S352" s="1">
        <v>258.10000000000002</v>
      </c>
      <c r="T352" s="1">
        <v>58.33</v>
      </c>
      <c r="U352" s="1">
        <v>3.2</v>
      </c>
      <c r="V352" s="1">
        <v>110</v>
      </c>
    </row>
    <row r="353" spans="1:22">
      <c r="B353" s="1">
        <v>115</v>
      </c>
      <c r="C353" s="1">
        <v>8.3170000000000002</v>
      </c>
      <c r="D353" s="108">
        <f t="shared" si="16"/>
        <v>1206.2810460000001</v>
      </c>
      <c r="E353" s="1">
        <v>407.2</v>
      </c>
      <c r="F353" s="1">
        <f t="shared" si="17"/>
        <v>85.178875638841561</v>
      </c>
      <c r="G353" s="1">
        <v>1.174E-2</v>
      </c>
      <c r="H353" s="1">
        <v>827.74</v>
      </c>
      <c r="I353" s="1">
        <v>1379.99</v>
      </c>
      <c r="J353" s="1">
        <v>2.8473999999999999</v>
      </c>
      <c r="K353" s="1">
        <v>4.2702</v>
      </c>
      <c r="L353" s="1">
        <v>9.6300000000000008</v>
      </c>
      <c r="M353" s="1">
        <v>12.91</v>
      </c>
      <c r="N353" s="1">
        <v>3.91</v>
      </c>
      <c r="O353" s="1">
        <v>538</v>
      </c>
      <c r="P353" s="1">
        <v>345</v>
      </c>
      <c r="Q353" s="1">
        <v>52.3</v>
      </c>
      <c r="R353" s="1">
        <v>15.19</v>
      </c>
      <c r="S353" s="1">
        <v>244.6</v>
      </c>
      <c r="T353" s="1">
        <v>66.28</v>
      </c>
      <c r="U353" s="1">
        <v>2.31</v>
      </c>
      <c r="V353" s="1">
        <v>115</v>
      </c>
    </row>
    <row r="354" spans="1:22">
      <c r="B354" s="1">
        <v>120</v>
      </c>
      <c r="C354" s="1">
        <v>9.1125000000000007</v>
      </c>
      <c r="D354" s="108">
        <f t="shared" si="16"/>
        <v>1321.6587750000001</v>
      </c>
      <c r="E354" s="1">
        <v>385.5</v>
      </c>
      <c r="F354" s="1">
        <f t="shared" si="17"/>
        <v>100.10010010010009</v>
      </c>
      <c r="G354" s="1">
        <v>9.9900000000000006E-3</v>
      </c>
      <c r="H354" s="1">
        <v>869.92</v>
      </c>
      <c r="I354" s="1">
        <v>1350.23</v>
      </c>
      <c r="J354" s="1">
        <v>2.9502000000000002</v>
      </c>
      <c r="K354" s="1">
        <v>4.1718999999999999</v>
      </c>
      <c r="L354" s="1">
        <v>11.94</v>
      </c>
      <c r="M354" s="1">
        <v>17.21</v>
      </c>
      <c r="N354" s="1">
        <v>5.04</v>
      </c>
      <c r="O354" s="1">
        <v>477</v>
      </c>
      <c r="P354" s="1">
        <v>335.4</v>
      </c>
      <c r="Q354" s="1">
        <v>48.3</v>
      </c>
      <c r="R354" s="1">
        <v>16.21</v>
      </c>
      <c r="S354" s="1">
        <v>231.2</v>
      </c>
      <c r="T354" s="1">
        <v>78.400000000000006</v>
      </c>
      <c r="U354" s="1">
        <v>1.5</v>
      </c>
      <c r="V354" s="1">
        <v>120</v>
      </c>
    </row>
    <row r="355" spans="1:22">
      <c r="B355" s="1">
        <v>125</v>
      </c>
      <c r="C355" s="1">
        <v>9.9700199999999999</v>
      </c>
      <c r="D355" s="108">
        <f t="shared" si="16"/>
        <v>1446.03176076</v>
      </c>
      <c r="E355" s="1">
        <v>357.8</v>
      </c>
      <c r="F355" s="1">
        <f t="shared" si="17"/>
        <v>120.7729468599034</v>
      </c>
      <c r="G355" s="1">
        <v>8.2799999999999992E-3</v>
      </c>
      <c r="H355" s="1">
        <v>919.68</v>
      </c>
      <c r="I355" s="1">
        <v>1309.1199999999999</v>
      </c>
      <c r="J355" s="1">
        <v>3.0701999999999998</v>
      </c>
      <c r="K355" s="1">
        <v>4.0483000000000002</v>
      </c>
      <c r="L355" s="1">
        <v>17.66</v>
      </c>
      <c r="M355" s="1">
        <v>27</v>
      </c>
      <c r="N355" s="1">
        <v>7.62</v>
      </c>
      <c r="O355" s="1">
        <v>411</v>
      </c>
      <c r="P355" s="1">
        <v>323.60000000000002</v>
      </c>
      <c r="Q355" s="1">
        <v>43.8</v>
      </c>
      <c r="R355" s="1">
        <v>17.73</v>
      </c>
      <c r="S355" s="1">
        <v>219.1</v>
      </c>
      <c r="T355" s="1">
        <v>100.01</v>
      </c>
      <c r="U355" s="1">
        <v>0.77</v>
      </c>
      <c r="V355" s="1">
        <v>125</v>
      </c>
    </row>
    <row r="356" spans="1:22">
      <c r="B356" s="1">
        <v>130</v>
      </c>
      <c r="C356" s="1">
        <v>10.8977</v>
      </c>
      <c r="D356" s="108">
        <f t="shared" si="16"/>
        <v>1580.5806126000002</v>
      </c>
      <c r="E356" s="1">
        <v>312.3</v>
      </c>
      <c r="F356" s="1">
        <f t="shared" si="17"/>
        <v>156.73981191222569</v>
      </c>
      <c r="G356" s="1">
        <v>6.3800000000000003E-3</v>
      </c>
      <c r="H356" s="1">
        <v>992.02</v>
      </c>
      <c r="I356" s="1">
        <v>1239.32</v>
      </c>
      <c r="J356" s="1">
        <v>3.2437</v>
      </c>
      <c r="K356" s="1">
        <v>3.8571</v>
      </c>
      <c r="L356" s="1">
        <v>54.21</v>
      </c>
      <c r="M356" s="1">
        <v>76.489999999999995</v>
      </c>
      <c r="N356" s="1">
        <v>20.66</v>
      </c>
      <c r="O356" s="1">
        <v>334</v>
      </c>
      <c r="P356" s="1">
        <v>306.60000000000002</v>
      </c>
      <c r="Q356" s="1">
        <v>37.299999999999997</v>
      </c>
      <c r="R356" s="1">
        <v>20.63</v>
      </c>
      <c r="S356" s="1">
        <v>221.9</v>
      </c>
      <c r="T356" s="1">
        <v>160.38999999999999</v>
      </c>
      <c r="U356" s="1">
        <v>0.18</v>
      </c>
      <c r="V356" s="1">
        <v>130</v>
      </c>
    </row>
    <row r="357" spans="1:22">
      <c r="B357" s="1" t="s">
        <v>428</v>
      </c>
      <c r="C357" s="1">
        <v>11.333</v>
      </c>
      <c r="D357" s="108">
        <f t="shared" si="16"/>
        <v>1643.7156540000001</v>
      </c>
      <c r="E357" s="1">
        <v>225</v>
      </c>
      <c r="F357" s="1">
        <f t="shared" si="17"/>
        <v>225.22522522522522</v>
      </c>
      <c r="G357" s="1">
        <v>4.4400000000000004E-3</v>
      </c>
      <c r="H357" s="1">
        <v>1119.22</v>
      </c>
      <c r="I357" s="1">
        <v>1119.22</v>
      </c>
      <c r="J357" s="1">
        <v>3.5541999999999998</v>
      </c>
      <c r="K357" s="1">
        <v>3.5541999999999998</v>
      </c>
      <c r="L357" s="1" t="s">
        <v>310</v>
      </c>
      <c r="M357" s="1" t="s">
        <v>310</v>
      </c>
      <c r="N357" s="1" t="s">
        <v>310</v>
      </c>
      <c r="O357" s="1">
        <v>0</v>
      </c>
      <c r="P357" s="1">
        <v>0</v>
      </c>
      <c r="Q357" s="1" t="s">
        <v>311</v>
      </c>
      <c r="R357" s="1" t="s">
        <v>311</v>
      </c>
      <c r="S357" s="1" t="s">
        <v>310</v>
      </c>
      <c r="T357" s="1" t="s">
        <v>310</v>
      </c>
      <c r="U357" s="1">
        <v>0</v>
      </c>
      <c r="V357" s="1">
        <v>132.25</v>
      </c>
    </row>
    <row r="358" spans="1:22">
      <c r="D358" s="108"/>
    </row>
    <row r="359" spans="1:22">
      <c r="D359" s="108"/>
    </row>
    <row r="360" spans="1:22">
      <c r="D360" s="108"/>
    </row>
    <row r="361" spans="1:22">
      <c r="D361" s="108"/>
    </row>
    <row r="362" spans="1:22">
      <c r="D362" s="108"/>
    </row>
    <row r="363" spans="1:22">
      <c r="A363" t="s">
        <v>334</v>
      </c>
      <c r="D363" s="108"/>
    </row>
    <row r="364" spans="1:22">
      <c r="B364" s="1" t="s">
        <v>429</v>
      </c>
      <c r="C364" s="1">
        <v>6.0999999999999997E-4</v>
      </c>
      <c r="D364" s="108">
        <f t="shared" si="16"/>
        <v>8.8473179999999998E-2</v>
      </c>
      <c r="E364" s="1">
        <v>999.8</v>
      </c>
      <c r="F364" s="1">
        <f t="shared" si="17"/>
        <v>4.8546045924559439E-3</v>
      </c>
      <c r="G364" s="1">
        <v>205.99</v>
      </c>
      <c r="H364" s="1">
        <v>0</v>
      </c>
      <c r="I364" s="1">
        <v>2500.92</v>
      </c>
      <c r="J364" s="1">
        <v>0</v>
      </c>
      <c r="K364" s="1">
        <v>9.1555</v>
      </c>
      <c r="L364" s="1">
        <v>4.22</v>
      </c>
      <c r="M364" s="1">
        <v>1.8839999999999999</v>
      </c>
      <c r="N364" s="1">
        <v>1.329</v>
      </c>
      <c r="O364" s="1">
        <v>1402</v>
      </c>
      <c r="P364" s="1">
        <v>409</v>
      </c>
      <c r="Q364" s="1">
        <v>1791.2</v>
      </c>
      <c r="R364" s="1">
        <v>9.2200000000000006</v>
      </c>
      <c r="S364" s="1">
        <v>561</v>
      </c>
      <c r="T364" s="1">
        <v>17.07</v>
      </c>
      <c r="U364" s="1">
        <v>75.650000000000006</v>
      </c>
      <c r="V364" s="1">
        <v>0.01</v>
      </c>
    </row>
    <row r="365" spans="1:22">
      <c r="B365" s="1">
        <v>5</v>
      </c>
      <c r="C365" s="1">
        <v>8.7000000000000001E-4</v>
      </c>
      <c r="D365" s="108">
        <f t="shared" si="16"/>
        <v>0.12618306000000001</v>
      </c>
      <c r="E365" s="1">
        <v>999.9</v>
      </c>
      <c r="F365" s="1">
        <f t="shared" si="17"/>
        <v>6.8022583497721247E-3</v>
      </c>
      <c r="G365" s="1">
        <v>147.01</v>
      </c>
      <c r="H365" s="1">
        <v>21.02</v>
      </c>
      <c r="I365" s="1">
        <v>2510.06</v>
      </c>
      <c r="J365" s="1">
        <v>7.6300000000000007E-2</v>
      </c>
      <c r="K365" s="1">
        <v>9.0248000000000008</v>
      </c>
      <c r="L365" s="1">
        <v>4.2050000000000001</v>
      </c>
      <c r="M365" s="1">
        <v>1.889</v>
      </c>
      <c r="N365" s="1">
        <v>1.3280000000000001</v>
      </c>
      <c r="O365" s="1">
        <v>1426</v>
      </c>
      <c r="P365" s="1">
        <v>412.6</v>
      </c>
      <c r="Q365" s="1">
        <v>1518.3</v>
      </c>
      <c r="R365" s="1">
        <v>9.34</v>
      </c>
      <c r="S365" s="1">
        <v>570.5</v>
      </c>
      <c r="T365" s="1">
        <v>17.34</v>
      </c>
      <c r="U365" s="1">
        <v>74.94</v>
      </c>
      <c r="V365" s="1">
        <v>5</v>
      </c>
    </row>
    <row r="366" spans="1:22">
      <c r="B366" s="1">
        <v>10</v>
      </c>
      <c r="C366" s="1">
        <v>1.23E-3</v>
      </c>
      <c r="D366" s="108">
        <f t="shared" si="16"/>
        <v>0.17839674</v>
      </c>
      <c r="E366" s="1">
        <v>999.7</v>
      </c>
      <c r="F366" s="1">
        <f t="shared" si="17"/>
        <v>9.4073377234242719E-3</v>
      </c>
      <c r="G366" s="1">
        <v>106.3</v>
      </c>
      <c r="H366" s="1">
        <v>42.02</v>
      </c>
      <c r="I366" s="1">
        <v>2519.21</v>
      </c>
      <c r="J366" s="1">
        <v>0.15110000000000001</v>
      </c>
      <c r="K366" s="1">
        <v>8.8998000000000008</v>
      </c>
      <c r="L366" s="1">
        <v>4.1959999999999997</v>
      </c>
      <c r="M366" s="1">
        <v>1.895</v>
      </c>
      <c r="N366" s="1">
        <v>1.3280000000000001</v>
      </c>
      <c r="O366" s="1">
        <v>1447</v>
      </c>
      <c r="P366" s="1">
        <v>416.2</v>
      </c>
      <c r="Q366" s="1">
        <v>1306</v>
      </c>
      <c r="R366" s="1">
        <v>9.4600000000000009</v>
      </c>
      <c r="S366" s="1">
        <v>580</v>
      </c>
      <c r="T366" s="1">
        <v>17.62</v>
      </c>
      <c r="U366" s="1">
        <v>74.22</v>
      </c>
      <c r="V366" s="1">
        <v>10</v>
      </c>
    </row>
    <row r="367" spans="1:22">
      <c r="B367" s="1">
        <v>15</v>
      </c>
      <c r="C367" s="1">
        <v>1.7099999999999999E-3</v>
      </c>
      <c r="D367" s="108">
        <f t="shared" si="16"/>
        <v>0.24801498</v>
      </c>
      <c r="E367" s="1">
        <v>999.1</v>
      </c>
      <c r="F367" s="1">
        <f t="shared" si="17"/>
        <v>1.2841091492776886E-2</v>
      </c>
      <c r="G367" s="1">
        <v>77.875</v>
      </c>
      <c r="H367" s="1">
        <v>62.98</v>
      </c>
      <c r="I367" s="1">
        <v>2528.33</v>
      </c>
      <c r="J367" s="1">
        <v>0.22450000000000001</v>
      </c>
      <c r="K367" s="1">
        <v>8.7803000000000004</v>
      </c>
      <c r="L367" s="1">
        <v>4.1890000000000001</v>
      </c>
      <c r="M367" s="1">
        <v>1.9</v>
      </c>
      <c r="N367" s="1">
        <v>1.3280000000000001</v>
      </c>
      <c r="O367" s="1">
        <v>1466</v>
      </c>
      <c r="P367" s="1">
        <v>419.7</v>
      </c>
      <c r="Q367" s="1">
        <v>1137.5999999999999</v>
      </c>
      <c r="R367" s="1">
        <v>9.59</v>
      </c>
      <c r="S367" s="1">
        <v>589.29999999999995</v>
      </c>
      <c r="T367" s="1">
        <v>17.920000000000002</v>
      </c>
      <c r="U367" s="1">
        <v>73.489999999999995</v>
      </c>
      <c r="V367" s="1">
        <v>15</v>
      </c>
    </row>
    <row r="368" spans="1:22">
      <c r="B368" s="1">
        <v>20</v>
      </c>
      <c r="C368" s="1">
        <v>2.3400000000000001E-3</v>
      </c>
      <c r="D368" s="108">
        <f t="shared" si="16"/>
        <v>0.33938892000000004</v>
      </c>
      <c r="E368" s="1">
        <v>998.2</v>
      </c>
      <c r="F368" s="1">
        <f t="shared" si="17"/>
        <v>1.7313918659210139E-2</v>
      </c>
      <c r="G368" s="1">
        <v>57.756999999999998</v>
      </c>
      <c r="H368" s="1">
        <v>83.91</v>
      </c>
      <c r="I368" s="1">
        <v>2537.4299999999998</v>
      </c>
      <c r="J368" s="1">
        <v>0.29649999999999999</v>
      </c>
      <c r="K368" s="1">
        <v>8.6660000000000004</v>
      </c>
      <c r="L368" s="1">
        <v>4.1840000000000002</v>
      </c>
      <c r="M368" s="1">
        <v>1.9059999999999999</v>
      </c>
      <c r="N368" s="1">
        <v>1.327</v>
      </c>
      <c r="O368" s="1">
        <v>1482</v>
      </c>
      <c r="P368" s="1">
        <v>423.2</v>
      </c>
      <c r="Q368" s="1">
        <v>1001.6</v>
      </c>
      <c r="R368" s="1">
        <v>9.73</v>
      </c>
      <c r="S368" s="1">
        <v>598.4</v>
      </c>
      <c r="T368" s="1">
        <v>18.23</v>
      </c>
      <c r="U368" s="1">
        <v>72.739999999999995</v>
      </c>
      <c r="V368" s="1">
        <v>20</v>
      </c>
    </row>
    <row r="369" spans="2:22">
      <c r="B369" s="1">
        <v>25</v>
      </c>
      <c r="C369" s="1">
        <v>3.1700000000000001E-3</v>
      </c>
      <c r="D369" s="108">
        <f t="shared" si="16"/>
        <v>0.45977046000000005</v>
      </c>
      <c r="E369" s="1">
        <v>997</v>
      </c>
      <c r="F369" s="1">
        <f t="shared" si="17"/>
        <v>2.3074970579412511E-2</v>
      </c>
      <c r="G369" s="1">
        <v>43.337000000000003</v>
      </c>
      <c r="H369" s="1">
        <v>104.83</v>
      </c>
      <c r="I369" s="1">
        <v>2546.5100000000002</v>
      </c>
      <c r="J369" s="1">
        <v>0.36720000000000003</v>
      </c>
      <c r="K369" s="1">
        <v>8.5565999999999995</v>
      </c>
      <c r="L369" s="1">
        <v>4.1820000000000004</v>
      </c>
      <c r="M369" s="1">
        <v>1.9119999999999999</v>
      </c>
      <c r="N369" s="1">
        <v>1.327</v>
      </c>
      <c r="O369" s="1">
        <v>1497</v>
      </c>
      <c r="P369" s="1">
        <v>426.6</v>
      </c>
      <c r="Q369" s="1">
        <v>890.1</v>
      </c>
      <c r="R369" s="1">
        <v>9.8699999999999992</v>
      </c>
      <c r="S369" s="1">
        <v>607.20000000000005</v>
      </c>
      <c r="T369" s="1">
        <v>18.55</v>
      </c>
      <c r="U369" s="1">
        <v>71.97</v>
      </c>
      <c r="V369" s="1">
        <v>25</v>
      </c>
    </row>
    <row r="370" spans="2:22">
      <c r="B370" s="1">
        <v>30</v>
      </c>
      <c r="C370" s="1">
        <v>4.2500000000000003E-3</v>
      </c>
      <c r="D370" s="108">
        <f t="shared" si="16"/>
        <v>0.61641150000000011</v>
      </c>
      <c r="E370" s="1">
        <v>995.6</v>
      </c>
      <c r="F370" s="1">
        <f t="shared" si="17"/>
        <v>3.0415475393880405E-2</v>
      </c>
      <c r="G370" s="1">
        <v>32.878</v>
      </c>
      <c r="H370" s="1">
        <v>125.73</v>
      </c>
      <c r="I370" s="1">
        <v>2555.5500000000002</v>
      </c>
      <c r="J370" s="1">
        <v>0.43680000000000002</v>
      </c>
      <c r="K370" s="1">
        <v>8.452</v>
      </c>
      <c r="L370" s="1">
        <v>4.18</v>
      </c>
      <c r="M370" s="1">
        <v>1.9179999999999999</v>
      </c>
      <c r="N370" s="1">
        <v>1.327</v>
      </c>
      <c r="O370" s="1">
        <v>1509</v>
      </c>
      <c r="P370" s="1">
        <v>430</v>
      </c>
      <c r="Q370" s="1">
        <v>797.4</v>
      </c>
      <c r="R370" s="1">
        <v>10.01</v>
      </c>
      <c r="S370" s="1">
        <v>615.5</v>
      </c>
      <c r="T370" s="1">
        <v>18.89</v>
      </c>
      <c r="U370" s="1">
        <v>71.19</v>
      </c>
      <c r="V370" s="1">
        <v>30</v>
      </c>
    </row>
    <row r="371" spans="2:22">
      <c r="B371" s="1">
        <v>35</v>
      </c>
      <c r="C371" s="1">
        <v>5.6299999999999996E-3</v>
      </c>
      <c r="D371" s="108">
        <f t="shared" si="16"/>
        <v>0.81656393999999999</v>
      </c>
      <c r="E371" s="1">
        <v>994</v>
      </c>
      <c r="F371" s="1">
        <f t="shared" si="17"/>
        <v>3.967466772465781E-2</v>
      </c>
      <c r="G371" s="1">
        <v>25.204999999999998</v>
      </c>
      <c r="H371" s="1">
        <v>146.63</v>
      </c>
      <c r="I371" s="1">
        <v>2564.5500000000002</v>
      </c>
      <c r="J371" s="1">
        <v>0.50509999999999999</v>
      </c>
      <c r="K371" s="1">
        <v>8.3516999999999992</v>
      </c>
      <c r="L371" s="1">
        <v>4.18</v>
      </c>
      <c r="M371" s="1">
        <v>1.925</v>
      </c>
      <c r="N371" s="1">
        <v>1.327</v>
      </c>
      <c r="O371" s="1">
        <v>1520</v>
      </c>
      <c r="P371" s="1">
        <v>433.4</v>
      </c>
      <c r="Q371" s="1">
        <v>719.3</v>
      </c>
      <c r="R371" s="1">
        <v>10.16</v>
      </c>
      <c r="S371" s="1">
        <v>623.29999999999995</v>
      </c>
      <c r="T371" s="1">
        <v>19.239999999999998</v>
      </c>
      <c r="U371" s="1">
        <v>70.400000000000006</v>
      </c>
      <c r="V371" s="1">
        <v>35</v>
      </c>
    </row>
    <row r="372" spans="2:22">
      <c r="B372" s="1">
        <v>40</v>
      </c>
      <c r="C372" s="1">
        <v>7.3800000000000003E-3</v>
      </c>
      <c r="D372" s="108">
        <f t="shared" si="16"/>
        <v>1.0703804400000001</v>
      </c>
      <c r="E372" s="1">
        <v>992.2</v>
      </c>
      <c r="F372" s="1">
        <f t="shared" si="17"/>
        <v>5.1242633871380991E-2</v>
      </c>
      <c r="G372" s="1">
        <v>19.515000000000001</v>
      </c>
      <c r="H372" s="1">
        <v>167.53</v>
      </c>
      <c r="I372" s="1">
        <v>2573.5100000000002</v>
      </c>
      <c r="J372" s="1">
        <v>0.57240000000000002</v>
      </c>
      <c r="K372" s="1">
        <v>8.2554999999999996</v>
      </c>
      <c r="L372" s="1">
        <v>4.18</v>
      </c>
      <c r="M372" s="1">
        <v>1.931</v>
      </c>
      <c r="N372" s="1">
        <v>1.327</v>
      </c>
      <c r="O372" s="1">
        <v>1529</v>
      </c>
      <c r="P372" s="1">
        <v>436.7</v>
      </c>
      <c r="Q372" s="1">
        <v>653</v>
      </c>
      <c r="R372" s="1">
        <v>10.31</v>
      </c>
      <c r="S372" s="1">
        <v>630.6</v>
      </c>
      <c r="T372" s="1">
        <v>19.600000000000001</v>
      </c>
      <c r="U372" s="1">
        <v>69.599999999999994</v>
      </c>
      <c r="V372" s="1">
        <v>40</v>
      </c>
    </row>
    <row r="373" spans="2:22">
      <c r="B373" s="1">
        <v>45</v>
      </c>
      <c r="C373" s="1">
        <v>9.5899999999999996E-3</v>
      </c>
      <c r="D373" s="108">
        <f t="shared" si="16"/>
        <v>1.3909144200000001</v>
      </c>
      <c r="E373" s="1">
        <v>990.2</v>
      </c>
      <c r="F373" s="1">
        <f t="shared" si="17"/>
        <v>6.5565171780750067E-2</v>
      </c>
      <c r="G373" s="1">
        <v>15.252000000000001</v>
      </c>
      <c r="H373" s="1">
        <v>188.43</v>
      </c>
      <c r="I373" s="1">
        <v>2582.4299999999998</v>
      </c>
      <c r="J373" s="1">
        <v>0.63859999999999995</v>
      </c>
      <c r="K373" s="1">
        <v>8.1632999999999996</v>
      </c>
      <c r="L373" s="1">
        <v>4.18</v>
      </c>
      <c r="M373" s="1">
        <v>1.9390000000000001</v>
      </c>
      <c r="N373" s="1">
        <v>1.327</v>
      </c>
      <c r="O373" s="1">
        <v>1536</v>
      </c>
      <c r="P373" s="1">
        <v>440</v>
      </c>
      <c r="Q373" s="1">
        <v>596.1</v>
      </c>
      <c r="R373" s="1">
        <v>10.46</v>
      </c>
      <c r="S373" s="1">
        <v>637.29999999999995</v>
      </c>
      <c r="T373" s="1">
        <v>19.97</v>
      </c>
      <c r="U373" s="1">
        <v>68.78</v>
      </c>
      <c r="V373" s="1">
        <v>45</v>
      </c>
    </row>
    <row r="374" spans="2:22">
      <c r="B374" s="1">
        <v>50</v>
      </c>
      <c r="C374" s="1">
        <v>1.235E-2</v>
      </c>
      <c r="D374" s="108">
        <f t="shared" si="16"/>
        <v>1.7912193000000001</v>
      </c>
      <c r="E374" s="1">
        <v>988</v>
      </c>
      <c r="F374" s="1">
        <f t="shared" si="17"/>
        <v>8.3146254261245542E-2</v>
      </c>
      <c r="G374" s="1">
        <v>12.026999999999999</v>
      </c>
      <c r="H374" s="1">
        <v>209.34</v>
      </c>
      <c r="I374" s="1">
        <v>2591.29</v>
      </c>
      <c r="J374" s="1">
        <v>0.70379999999999998</v>
      </c>
      <c r="K374" s="1">
        <v>8.0747999999999998</v>
      </c>
      <c r="L374" s="1">
        <v>4.1820000000000004</v>
      </c>
      <c r="M374" s="1">
        <v>1.9470000000000001</v>
      </c>
      <c r="N374" s="1">
        <v>1.3280000000000001</v>
      </c>
      <c r="O374" s="1">
        <v>1542</v>
      </c>
      <c r="P374" s="1">
        <v>443.2</v>
      </c>
      <c r="Q374" s="1">
        <v>546.79999999999995</v>
      </c>
      <c r="R374" s="1">
        <v>10.62</v>
      </c>
      <c r="S374" s="1">
        <v>643.6</v>
      </c>
      <c r="T374" s="1">
        <v>20.36</v>
      </c>
      <c r="U374" s="1">
        <v>67.94</v>
      </c>
      <c r="V374" s="1">
        <v>50</v>
      </c>
    </row>
    <row r="375" spans="2:22">
      <c r="B375" s="1">
        <v>55</v>
      </c>
      <c r="C375" s="1">
        <v>1.576E-2</v>
      </c>
      <c r="D375" s="108">
        <f t="shared" si="16"/>
        <v>2.2857988800000002</v>
      </c>
      <c r="E375" s="1">
        <v>985.7</v>
      </c>
      <c r="F375" s="1">
        <f t="shared" si="17"/>
        <v>0.10455548236671791</v>
      </c>
      <c r="G375" s="1">
        <v>9.5642999999999994</v>
      </c>
      <c r="H375" s="1">
        <v>230.26</v>
      </c>
      <c r="I375" s="1">
        <v>2600.09</v>
      </c>
      <c r="J375" s="1">
        <v>0.76800000000000002</v>
      </c>
      <c r="K375" s="1">
        <v>7.9897999999999998</v>
      </c>
      <c r="L375" s="1">
        <v>4.1829999999999998</v>
      </c>
      <c r="M375" s="1">
        <v>1.9550000000000001</v>
      </c>
      <c r="N375" s="1">
        <v>1.3280000000000001</v>
      </c>
      <c r="O375" s="1">
        <v>1547</v>
      </c>
      <c r="P375" s="1">
        <v>446.4</v>
      </c>
      <c r="Q375" s="1">
        <v>504</v>
      </c>
      <c r="R375" s="1">
        <v>10.77</v>
      </c>
      <c r="S375" s="1">
        <v>649.20000000000005</v>
      </c>
      <c r="T375" s="1">
        <v>20.77</v>
      </c>
      <c r="U375" s="1">
        <v>67.099999999999994</v>
      </c>
      <c r="V375" s="1">
        <v>55</v>
      </c>
    </row>
    <row r="376" spans="2:22">
      <c r="B376" s="1">
        <v>60</v>
      </c>
      <c r="C376" s="1">
        <v>1.9949999999999999E-2</v>
      </c>
      <c r="D376" s="108">
        <f t="shared" si="16"/>
        <v>2.8935081</v>
      </c>
      <c r="E376" s="1">
        <v>983.2</v>
      </c>
      <c r="F376" s="1">
        <f t="shared" si="17"/>
        <v>0.13042570951585977</v>
      </c>
      <c r="G376" s="1">
        <v>7.6672000000000002</v>
      </c>
      <c r="H376" s="1">
        <v>251.18</v>
      </c>
      <c r="I376" s="1">
        <v>2608.83</v>
      </c>
      <c r="J376" s="1">
        <v>0.83130000000000004</v>
      </c>
      <c r="K376" s="1">
        <v>7.9081000000000001</v>
      </c>
      <c r="L376" s="1">
        <v>4.1849999999999996</v>
      </c>
      <c r="M376" s="1">
        <v>1.9650000000000001</v>
      </c>
      <c r="N376" s="1">
        <v>1.3280000000000001</v>
      </c>
      <c r="O376" s="1">
        <v>1551</v>
      </c>
      <c r="P376" s="1">
        <v>449.5</v>
      </c>
      <c r="Q376" s="1">
        <v>466.4</v>
      </c>
      <c r="R376" s="1">
        <v>10.93</v>
      </c>
      <c r="S376" s="1">
        <v>654.29999999999995</v>
      </c>
      <c r="T376" s="1">
        <v>21.19</v>
      </c>
      <c r="U376" s="1">
        <v>66.239999999999995</v>
      </c>
      <c r="V376" s="1">
        <v>60</v>
      </c>
    </row>
    <row r="377" spans="2:22">
      <c r="B377" s="1">
        <v>65</v>
      </c>
      <c r="C377" s="1">
        <v>2.504E-2</v>
      </c>
      <c r="D377" s="108">
        <f t="shared" si="16"/>
        <v>3.6317515200000003</v>
      </c>
      <c r="E377" s="1">
        <v>980.5</v>
      </c>
      <c r="F377" s="1">
        <f t="shared" si="17"/>
        <v>0.16145959473641722</v>
      </c>
      <c r="G377" s="1">
        <v>6.1935000000000002</v>
      </c>
      <c r="H377" s="1">
        <v>272.12</v>
      </c>
      <c r="I377" s="1">
        <v>2617.5</v>
      </c>
      <c r="J377" s="1">
        <v>0.89370000000000005</v>
      </c>
      <c r="K377" s="1">
        <v>7.8296000000000001</v>
      </c>
      <c r="L377" s="1">
        <v>4.1870000000000003</v>
      </c>
      <c r="M377" s="1">
        <v>1.9750000000000001</v>
      </c>
      <c r="N377" s="1">
        <v>1.329</v>
      </c>
      <c r="O377" s="1">
        <v>1553</v>
      </c>
      <c r="P377" s="1">
        <v>452.6</v>
      </c>
      <c r="Q377" s="1">
        <v>433.2</v>
      </c>
      <c r="R377" s="1">
        <v>11.1</v>
      </c>
      <c r="S377" s="1">
        <v>659</v>
      </c>
      <c r="T377" s="1">
        <v>21.62</v>
      </c>
      <c r="U377" s="1">
        <v>65.37</v>
      </c>
      <c r="V377" s="1">
        <v>65</v>
      </c>
    </row>
    <row r="378" spans="2:22">
      <c r="B378" s="1">
        <v>70</v>
      </c>
      <c r="C378" s="1">
        <v>3.1199999999999999E-2</v>
      </c>
      <c r="D378" s="108">
        <f t="shared" si="16"/>
        <v>4.5251856000000004</v>
      </c>
      <c r="E378" s="1">
        <v>977.7</v>
      </c>
      <c r="F378" s="1">
        <f t="shared" si="17"/>
        <v>0.19843238416509573</v>
      </c>
      <c r="G378" s="1">
        <v>5.0395000000000003</v>
      </c>
      <c r="H378" s="1">
        <v>293.07</v>
      </c>
      <c r="I378" s="1">
        <v>2626.1</v>
      </c>
      <c r="J378" s="1">
        <v>0.95509999999999995</v>
      </c>
      <c r="K378" s="1">
        <v>7.7539999999999996</v>
      </c>
      <c r="L378" s="1">
        <v>4.1900000000000004</v>
      </c>
      <c r="M378" s="1">
        <v>1.986</v>
      </c>
      <c r="N378" s="1">
        <v>1.33</v>
      </c>
      <c r="O378" s="1">
        <v>1555</v>
      </c>
      <c r="P378" s="1">
        <v>455.6</v>
      </c>
      <c r="Q378" s="1">
        <v>403.9</v>
      </c>
      <c r="R378" s="1">
        <v>11.26</v>
      </c>
      <c r="S378" s="1">
        <v>663.1</v>
      </c>
      <c r="T378" s="1">
        <v>22.07</v>
      </c>
      <c r="U378" s="1">
        <v>64.48</v>
      </c>
      <c r="V378" s="1">
        <v>70</v>
      </c>
    </row>
    <row r="379" spans="2:22">
      <c r="B379" s="1">
        <v>75</v>
      </c>
      <c r="C379" s="1">
        <v>3.8600000000000002E-2</v>
      </c>
      <c r="D379" s="108">
        <f t="shared" si="16"/>
        <v>5.5984668000000006</v>
      </c>
      <c r="E379" s="1">
        <v>974.8</v>
      </c>
      <c r="F379" s="1">
        <f t="shared" si="17"/>
        <v>0.24219525781685197</v>
      </c>
      <c r="G379" s="1">
        <v>4.1288999999999998</v>
      </c>
      <c r="H379" s="1">
        <v>314.02999999999997</v>
      </c>
      <c r="I379" s="1">
        <v>2634.6</v>
      </c>
      <c r="J379" s="1">
        <v>1.0158</v>
      </c>
      <c r="K379" s="1">
        <v>7.6811999999999996</v>
      </c>
      <c r="L379" s="1">
        <v>4.1929999999999996</v>
      </c>
      <c r="M379" s="1">
        <v>1.9990000000000001</v>
      </c>
      <c r="N379" s="1">
        <v>1.331</v>
      </c>
      <c r="O379" s="1">
        <v>1555</v>
      </c>
      <c r="P379" s="1">
        <v>458.5</v>
      </c>
      <c r="Q379" s="1">
        <v>377.7</v>
      </c>
      <c r="R379" s="1">
        <v>11.43</v>
      </c>
      <c r="S379" s="1">
        <v>666.8</v>
      </c>
      <c r="T379" s="1">
        <v>22.53</v>
      </c>
      <c r="U379" s="1">
        <v>63.58</v>
      </c>
      <c r="V379" s="1">
        <v>75</v>
      </c>
    </row>
    <row r="380" spans="2:22">
      <c r="B380" s="1">
        <v>80</v>
      </c>
      <c r="C380" s="1">
        <v>4.7410000000000001E-2</v>
      </c>
      <c r="D380" s="108">
        <f t="shared" si="16"/>
        <v>6.8762515800000008</v>
      </c>
      <c r="E380" s="1">
        <v>971.8</v>
      </c>
      <c r="F380" s="1">
        <f t="shared" si="17"/>
        <v>0.29366850698931046</v>
      </c>
      <c r="G380" s="1">
        <v>3.4051999999999998</v>
      </c>
      <c r="H380" s="1">
        <v>335.01</v>
      </c>
      <c r="I380" s="1">
        <v>2643.02</v>
      </c>
      <c r="J380" s="1">
        <v>1.0755999999999999</v>
      </c>
      <c r="K380" s="1">
        <v>7.6111000000000004</v>
      </c>
      <c r="L380" s="1">
        <v>4.1970000000000001</v>
      </c>
      <c r="M380" s="1">
        <v>2.012</v>
      </c>
      <c r="N380" s="1">
        <v>1.3320000000000001</v>
      </c>
      <c r="O380" s="1">
        <v>1554</v>
      </c>
      <c r="P380" s="1">
        <v>461.4</v>
      </c>
      <c r="Q380" s="1">
        <v>354.3</v>
      </c>
      <c r="R380" s="1">
        <v>11.59</v>
      </c>
      <c r="S380" s="1">
        <v>670</v>
      </c>
      <c r="T380" s="1">
        <v>23.01</v>
      </c>
      <c r="U380" s="1">
        <v>62.67</v>
      </c>
      <c r="V380" s="1">
        <v>80</v>
      </c>
    </row>
    <row r="381" spans="2:22">
      <c r="B381" s="1">
        <v>85</v>
      </c>
      <c r="C381" s="1">
        <v>5.7869999999999998E-2</v>
      </c>
      <c r="D381" s="108">
        <f t="shared" si="16"/>
        <v>8.3933490600000003</v>
      </c>
      <c r="E381" s="1">
        <v>968.6</v>
      </c>
      <c r="F381" s="1">
        <f t="shared" si="17"/>
        <v>0.35388208648878194</v>
      </c>
      <c r="G381" s="1">
        <v>2.8258000000000001</v>
      </c>
      <c r="H381" s="1">
        <v>356.01</v>
      </c>
      <c r="I381" s="1">
        <v>2651.33</v>
      </c>
      <c r="J381" s="1">
        <v>1.1346000000000001</v>
      </c>
      <c r="K381" s="1">
        <v>7.5434000000000001</v>
      </c>
      <c r="L381" s="1">
        <v>4.2009999999999996</v>
      </c>
      <c r="M381" s="1">
        <v>2.0270000000000001</v>
      </c>
      <c r="N381" s="1">
        <v>1.333</v>
      </c>
      <c r="O381" s="1">
        <v>1553</v>
      </c>
      <c r="P381" s="1">
        <v>464.2</v>
      </c>
      <c r="Q381" s="1">
        <v>333.3</v>
      </c>
      <c r="R381" s="1">
        <v>11.76</v>
      </c>
      <c r="S381" s="1">
        <v>672.8</v>
      </c>
      <c r="T381" s="1">
        <v>23.51</v>
      </c>
      <c r="U381" s="1">
        <v>61.75</v>
      </c>
      <c r="V381" s="1">
        <v>85</v>
      </c>
    </row>
    <row r="382" spans="2:22">
      <c r="B382" s="1">
        <v>90</v>
      </c>
      <c r="C382" s="1">
        <v>7.0180000000000006E-2</v>
      </c>
      <c r="D382" s="108">
        <f t="shared" si="16"/>
        <v>10.178766840000002</v>
      </c>
      <c r="E382" s="1">
        <v>965.3</v>
      </c>
      <c r="F382" s="1">
        <f t="shared" si="17"/>
        <v>0.4238904667034038</v>
      </c>
      <c r="G382" s="1">
        <v>2.3591000000000002</v>
      </c>
      <c r="H382" s="1">
        <v>377.04</v>
      </c>
      <c r="I382" s="1">
        <v>2659.53</v>
      </c>
      <c r="J382" s="1">
        <v>1.1929000000000001</v>
      </c>
      <c r="K382" s="1">
        <v>7.4781000000000004</v>
      </c>
      <c r="L382" s="1">
        <v>4.2050000000000001</v>
      </c>
      <c r="M382" s="1">
        <v>2.0430000000000001</v>
      </c>
      <c r="N382" s="1">
        <v>1.3340000000000001</v>
      </c>
      <c r="O382" s="1">
        <v>1550</v>
      </c>
      <c r="P382" s="1">
        <v>466.9</v>
      </c>
      <c r="Q382" s="1">
        <v>314.39999999999998</v>
      </c>
      <c r="R382" s="1">
        <v>11.93</v>
      </c>
      <c r="S382" s="1">
        <v>675.3</v>
      </c>
      <c r="T382" s="1">
        <v>24.02</v>
      </c>
      <c r="U382" s="1">
        <v>60.82</v>
      </c>
      <c r="V382" s="1">
        <v>90</v>
      </c>
    </row>
    <row r="383" spans="2:22">
      <c r="B383" s="1">
        <v>95</v>
      </c>
      <c r="C383" s="1">
        <v>8.4610000000000005E-2</v>
      </c>
      <c r="D383" s="108">
        <f t="shared" si="16"/>
        <v>12.271665180000001</v>
      </c>
      <c r="E383" s="1">
        <v>961.9</v>
      </c>
      <c r="F383" s="1">
        <f t="shared" si="17"/>
        <v>0.50489750580632131</v>
      </c>
      <c r="G383" s="1">
        <v>1.9805999999999999</v>
      </c>
      <c r="H383" s="1">
        <v>398.09</v>
      </c>
      <c r="I383" s="1">
        <v>2667.61</v>
      </c>
      <c r="J383" s="1">
        <v>1.2504</v>
      </c>
      <c r="K383" s="1">
        <v>7.4150999999999998</v>
      </c>
      <c r="L383" s="1">
        <v>4.21</v>
      </c>
      <c r="M383" s="1">
        <v>2.0609999999999999</v>
      </c>
      <c r="N383" s="1">
        <v>1.335</v>
      </c>
      <c r="O383" s="1">
        <v>1547</v>
      </c>
      <c r="P383" s="1">
        <v>469.6</v>
      </c>
      <c r="Q383" s="1">
        <v>297.3</v>
      </c>
      <c r="R383" s="1">
        <v>12.1</v>
      </c>
      <c r="S383" s="1">
        <v>677.3</v>
      </c>
      <c r="T383" s="1">
        <v>24.55</v>
      </c>
      <c r="U383" s="1">
        <v>59.87</v>
      </c>
      <c r="V383" s="1">
        <v>95</v>
      </c>
    </row>
    <row r="384" spans="2:22">
      <c r="B384" s="1" t="s">
        <v>430</v>
      </c>
      <c r="C384" s="1">
        <v>0.10133</v>
      </c>
      <c r="D384" s="108">
        <f t="shared" si="16"/>
        <v>14.696700540000002</v>
      </c>
      <c r="E384" s="1">
        <v>958.4</v>
      </c>
      <c r="F384" s="1">
        <f t="shared" si="17"/>
        <v>0.59765718383934974</v>
      </c>
      <c r="G384" s="1">
        <v>1.6732</v>
      </c>
      <c r="H384" s="1">
        <v>419.06</v>
      </c>
      <c r="I384" s="1">
        <v>2675.53</v>
      </c>
      <c r="J384" s="1">
        <v>1.3069</v>
      </c>
      <c r="K384" s="1">
        <v>7.3544</v>
      </c>
      <c r="L384" s="1">
        <v>4.2160000000000002</v>
      </c>
      <c r="M384" s="1">
        <v>2.08</v>
      </c>
      <c r="N384" s="1">
        <v>1.337</v>
      </c>
      <c r="O384" s="1">
        <v>1543</v>
      </c>
      <c r="P384" s="1">
        <v>472.2</v>
      </c>
      <c r="Q384" s="1">
        <v>281.8</v>
      </c>
      <c r="R384" s="1">
        <v>12.27</v>
      </c>
      <c r="S384" s="1">
        <v>679.1</v>
      </c>
      <c r="T384" s="1">
        <v>25.09</v>
      </c>
      <c r="U384" s="1">
        <v>58.92</v>
      </c>
      <c r="V384" s="1">
        <v>99.97</v>
      </c>
    </row>
    <row r="385" spans="2:22">
      <c r="B385" s="1">
        <v>100</v>
      </c>
      <c r="C385" s="1">
        <v>0.10142</v>
      </c>
      <c r="D385" s="108">
        <f t="shared" si="16"/>
        <v>14.70975396</v>
      </c>
      <c r="E385" s="1">
        <v>958.3</v>
      </c>
      <c r="F385" s="1">
        <f t="shared" si="17"/>
        <v>0.59815767436296208</v>
      </c>
      <c r="G385" s="1">
        <v>1.6718</v>
      </c>
      <c r="H385" s="1">
        <v>419.17</v>
      </c>
      <c r="I385" s="1">
        <v>2675.57</v>
      </c>
      <c r="J385" s="1">
        <v>1.3071999999999999</v>
      </c>
      <c r="K385" s="1">
        <v>7.3540999999999999</v>
      </c>
      <c r="L385" s="1">
        <v>4.2160000000000002</v>
      </c>
      <c r="M385" s="1">
        <v>2.08</v>
      </c>
      <c r="N385" s="1">
        <v>1.337</v>
      </c>
      <c r="O385" s="1">
        <v>1543</v>
      </c>
      <c r="P385" s="1">
        <v>472.2</v>
      </c>
      <c r="Q385" s="1">
        <v>281.7</v>
      </c>
      <c r="R385" s="1">
        <v>12.27</v>
      </c>
      <c r="S385" s="1">
        <v>679.1</v>
      </c>
      <c r="T385" s="1">
        <v>25.1</v>
      </c>
      <c r="U385" s="1">
        <v>58.91</v>
      </c>
      <c r="V385" s="1">
        <v>100</v>
      </c>
    </row>
    <row r="386" spans="2:22">
      <c r="B386" s="1">
        <v>105</v>
      </c>
      <c r="C386" s="1">
        <v>0.12089999999999999</v>
      </c>
      <c r="D386" s="108">
        <f t="shared" si="16"/>
        <v>17.5350942</v>
      </c>
      <c r="E386" s="1">
        <v>954.7</v>
      </c>
      <c r="F386" s="1">
        <f t="shared" si="17"/>
        <v>0.70501974055273542</v>
      </c>
      <c r="G386" s="1">
        <v>1.4184000000000001</v>
      </c>
      <c r="H386" s="1">
        <v>440.27</v>
      </c>
      <c r="I386" s="1">
        <v>2683.39</v>
      </c>
      <c r="J386" s="1">
        <v>1.3633</v>
      </c>
      <c r="K386" s="1">
        <v>7.2952000000000004</v>
      </c>
      <c r="L386" s="1">
        <v>4.2220000000000004</v>
      </c>
      <c r="M386" s="1">
        <v>2.101</v>
      </c>
      <c r="N386" s="1">
        <v>1.339</v>
      </c>
      <c r="O386" s="1">
        <v>1538</v>
      </c>
      <c r="P386" s="1">
        <v>474.7</v>
      </c>
      <c r="Q386" s="1">
        <v>267.60000000000002</v>
      </c>
      <c r="R386" s="1">
        <v>12.44</v>
      </c>
      <c r="S386" s="1">
        <v>680.5</v>
      </c>
      <c r="T386" s="1">
        <v>25.66</v>
      </c>
      <c r="U386" s="1">
        <v>57.94</v>
      </c>
      <c r="V386" s="1">
        <v>105</v>
      </c>
    </row>
    <row r="387" spans="2:22">
      <c r="B387" s="1">
        <v>110</v>
      </c>
      <c r="C387" s="1">
        <v>0.14338000000000001</v>
      </c>
      <c r="D387" s="108">
        <f t="shared" si="16"/>
        <v>20.795548440000001</v>
      </c>
      <c r="E387" s="1">
        <v>950.9</v>
      </c>
      <c r="F387" s="1">
        <f t="shared" si="17"/>
        <v>0.82692466716282143</v>
      </c>
      <c r="G387" s="1">
        <v>1.2093</v>
      </c>
      <c r="H387" s="1">
        <v>461.42</v>
      </c>
      <c r="I387" s="1">
        <v>2691.06</v>
      </c>
      <c r="J387" s="1">
        <v>1.4188000000000001</v>
      </c>
      <c r="K387" s="1">
        <v>7.2381000000000002</v>
      </c>
      <c r="L387" s="1">
        <v>4.2279999999999998</v>
      </c>
      <c r="M387" s="1">
        <v>2.1240000000000001</v>
      </c>
      <c r="N387" s="1">
        <v>1.341</v>
      </c>
      <c r="O387" s="1">
        <v>1533</v>
      </c>
      <c r="P387" s="1">
        <v>477.1</v>
      </c>
      <c r="Q387" s="1">
        <v>254.7</v>
      </c>
      <c r="R387" s="1">
        <v>12.61</v>
      </c>
      <c r="S387" s="1">
        <v>681.7</v>
      </c>
      <c r="T387" s="1">
        <v>26.24</v>
      </c>
      <c r="U387" s="1">
        <v>56.96</v>
      </c>
      <c r="V387" s="1">
        <v>110</v>
      </c>
    </row>
    <row r="388" spans="2:22">
      <c r="B388" s="1">
        <v>115</v>
      </c>
      <c r="C388" s="1">
        <v>0.16918</v>
      </c>
      <c r="D388" s="108">
        <f t="shared" si="16"/>
        <v>24.53752884</v>
      </c>
      <c r="E388" s="1">
        <v>947.1</v>
      </c>
      <c r="F388" s="1">
        <f t="shared" si="17"/>
        <v>0.9654373431164317</v>
      </c>
      <c r="G388" s="1">
        <v>1.0358000000000001</v>
      </c>
      <c r="H388" s="1">
        <v>482.59</v>
      </c>
      <c r="I388" s="1">
        <v>2698.58</v>
      </c>
      <c r="J388" s="1">
        <v>1.4737</v>
      </c>
      <c r="K388" s="1">
        <v>7.1828000000000003</v>
      </c>
      <c r="L388" s="1">
        <v>4.2359999999999998</v>
      </c>
      <c r="M388" s="1">
        <v>2.15</v>
      </c>
      <c r="N388" s="1">
        <v>1.343</v>
      </c>
      <c r="O388" s="1">
        <v>1527</v>
      </c>
      <c r="P388" s="1">
        <v>479.5</v>
      </c>
      <c r="Q388" s="1">
        <v>242.9</v>
      </c>
      <c r="R388" s="1">
        <v>12.78</v>
      </c>
      <c r="S388" s="1">
        <v>682.6</v>
      </c>
      <c r="T388" s="1">
        <v>26.85</v>
      </c>
      <c r="U388" s="1">
        <v>55.97</v>
      </c>
      <c r="V388" s="1">
        <v>115</v>
      </c>
    </row>
    <row r="389" spans="2:22">
      <c r="B389" s="1">
        <v>120</v>
      </c>
      <c r="C389" s="1">
        <v>0.19867000000000001</v>
      </c>
      <c r="D389" s="108">
        <f t="shared" si="16"/>
        <v>28.814699460000003</v>
      </c>
      <c r="E389" s="1">
        <v>943.1</v>
      </c>
      <c r="F389" s="1">
        <f t="shared" si="17"/>
        <v>1.1220699947262711</v>
      </c>
      <c r="G389" s="1">
        <v>0.89120999999999995</v>
      </c>
      <c r="H389" s="1">
        <v>503.81</v>
      </c>
      <c r="I389" s="1">
        <v>2705.93</v>
      </c>
      <c r="J389" s="1">
        <v>1.5279</v>
      </c>
      <c r="K389" s="1">
        <v>7.1291000000000002</v>
      </c>
      <c r="L389" s="1">
        <v>4.2439999999999998</v>
      </c>
      <c r="M389" s="1">
        <v>2.177</v>
      </c>
      <c r="N389" s="1">
        <v>1.3460000000000001</v>
      </c>
      <c r="O389" s="1">
        <v>1520</v>
      </c>
      <c r="P389" s="1">
        <v>481.7</v>
      </c>
      <c r="Q389" s="1">
        <v>232.1</v>
      </c>
      <c r="R389" s="1">
        <v>12.96</v>
      </c>
      <c r="S389" s="1">
        <v>683.2</v>
      </c>
      <c r="T389" s="1">
        <v>27.47</v>
      </c>
      <c r="U389" s="1">
        <v>54.97</v>
      </c>
      <c r="V389" s="1">
        <v>120</v>
      </c>
    </row>
    <row r="390" spans="2:22">
      <c r="B390" s="1">
        <v>125</v>
      </c>
      <c r="C390" s="1">
        <v>0.23224</v>
      </c>
      <c r="D390" s="108">
        <f t="shared" si="16"/>
        <v>33.683625120000002</v>
      </c>
      <c r="E390" s="1">
        <v>939</v>
      </c>
      <c r="F390" s="1">
        <f t="shared" si="17"/>
        <v>1.2986507019207043</v>
      </c>
      <c r="G390" s="1">
        <v>0.77002999999999999</v>
      </c>
      <c r="H390" s="1">
        <v>525.07000000000005</v>
      </c>
      <c r="I390" s="1">
        <v>2713.1</v>
      </c>
      <c r="J390" s="1">
        <v>1.5815999999999999</v>
      </c>
      <c r="K390" s="1">
        <v>7.077</v>
      </c>
      <c r="L390" s="1">
        <v>4.2519999999999998</v>
      </c>
      <c r="M390" s="1">
        <v>2.2069999999999999</v>
      </c>
      <c r="N390" s="1">
        <v>1.349</v>
      </c>
      <c r="O390" s="1">
        <v>1512</v>
      </c>
      <c r="P390" s="1">
        <v>483.9</v>
      </c>
      <c r="Q390" s="1">
        <v>222.1</v>
      </c>
      <c r="R390" s="1">
        <v>13.13</v>
      </c>
      <c r="S390" s="1">
        <v>683.6</v>
      </c>
      <c r="T390" s="1">
        <v>28.11</v>
      </c>
      <c r="U390" s="1">
        <v>53.96</v>
      </c>
      <c r="V390" s="1">
        <v>125</v>
      </c>
    </row>
    <row r="391" spans="2:22">
      <c r="B391" s="1">
        <v>130</v>
      </c>
      <c r="C391" s="1">
        <v>0.27028000000000002</v>
      </c>
      <c r="D391" s="108">
        <f t="shared" si="16"/>
        <v>39.200870640000005</v>
      </c>
      <c r="E391" s="1">
        <v>934.8</v>
      </c>
      <c r="F391" s="1">
        <f t="shared" si="17"/>
        <v>1.4970059880239519</v>
      </c>
      <c r="G391" s="1">
        <v>0.66800000000000004</v>
      </c>
      <c r="H391" s="1">
        <v>546.38</v>
      </c>
      <c r="I391" s="1">
        <v>2720.08</v>
      </c>
      <c r="J391" s="1">
        <v>1.6346000000000001</v>
      </c>
      <c r="K391" s="1">
        <v>7.0263999999999998</v>
      </c>
      <c r="L391" s="1">
        <v>4.2610000000000001</v>
      </c>
      <c r="M391" s="1">
        <v>2.2389999999999999</v>
      </c>
      <c r="N391" s="1">
        <v>1.3520000000000001</v>
      </c>
      <c r="O391" s="1">
        <v>1504</v>
      </c>
      <c r="P391" s="1">
        <v>486</v>
      </c>
      <c r="Q391" s="1">
        <v>212.9</v>
      </c>
      <c r="R391" s="1">
        <v>13.3</v>
      </c>
      <c r="S391" s="1">
        <v>683.7</v>
      </c>
      <c r="T391" s="1">
        <v>28.76</v>
      </c>
      <c r="U391" s="1">
        <v>52.93</v>
      </c>
      <c r="V391" s="1">
        <v>130</v>
      </c>
    </row>
    <row r="392" spans="2:22">
      <c r="B392" s="1">
        <v>135</v>
      </c>
      <c r="C392" s="1">
        <v>0.31323000000000001</v>
      </c>
      <c r="D392" s="108">
        <f t="shared" si="16"/>
        <v>45.430252740000007</v>
      </c>
      <c r="E392" s="1">
        <v>930.5</v>
      </c>
      <c r="F392" s="1">
        <f t="shared" si="17"/>
        <v>1.7190105375345952</v>
      </c>
      <c r="G392" s="1">
        <v>0.58172999999999997</v>
      </c>
      <c r="H392" s="1">
        <v>567.74</v>
      </c>
      <c r="I392" s="1">
        <v>2726.87</v>
      </c>
      <c r="J392" s="1">
        <v>1.6872</v>
      </c>
      <c r="K392" s="1">
        <v>6.9771999999999998</v>
      </c>
      <c r="L392" s="1">
        <v>4.2720000000000002</v>
      </c>
      <c r="M392" s="1">
        <v>2.274</v>
      </c>
      <c r="N392" s="1">
        <v>1.355</v>
      </c>
      <c r="O392" s="1">
        <v>1496</v>
      </c>
      <c r="P392" s="1">
        <v>487.9</v>
      </c>
      <c r="Q392" s="1">
        <v>204.4</v>
      </c>
      <c r="R392" s="1">
        <v>13.47</v>
      </c>
      <c r="S392" s="1">
        <v>683.6</v>
      </c>
      <c r="T392" s="1">
        <v>29.44</v>
      </c>
      <c r="U392" s="1">
        <v>51.9</v>
      </c>
      <c r="V392" s="1">
        <v>135</v>
      </c>
    </row>
    <row r="393" spans="2:22">
      <c r="B393" s="1">
        <v>140</v>
      </c>
      <c r="C393" s="1">
        <v>0.36153999999999997</v>
      </c>
      <c r="D393" s="108">
        <f t="shared" ref="D393:D456" si="18">C393*145.038</f>
        <v>52.437038520000002</v>
      </c>
      <c r="E393" s="1">
        <v>926.1</v>
      </c>
      <c r="F393" s="1">
        <f t="shared" ref="F393:F456" si="19">1/G393</f>
        <v>1.9667617268167963</v>
      </c>
      <c r="G393" s="1">
        <v>0.50844999999999996</v>
      </c>
      <c r="H393" s="1">
        <v>589.16</v>
      </c>
      <c r="I393" s="1">
        <v>2733.44</v>
      </c>
      <c r="J393" s="1">
        <v>1.7392000000000001</v>
      </c>
      <c r="K393" s="1">
        <v>6.9292999999999996</v>
      </c>
      <c r="L393" s="1">
        <v>4.2830000000000004</v>
      </c>
      <c r="M393" s="1">
        <v>2.3109999999999999</v>
      </c>
      <c r="N393" s="1">
        <v>1.359</v>
      </c>
      <c r="O393" s="1">
        <v>1486</v>
      </c>
      <c r="P393" s="1">
        <v>489.8</v>
      </c>
      <c r="Q393" s="1">
        <v>196.5</v>
      </c>
      <c r="R393" s="1">
        <v>13.65</v>
      </c>
      <c r="S393" s="1">
        <v>683.3</v>
      </c>
      <c r="T393" s="1">
        <v>30.14</v>
      </c>
      <c r="U393" s="1">
        <v>50.86</v>
      </c>
      <c r="V393" s="1">
        <v>140</v>
      </c>
    </row>
    <row r="394" spans="2:22">
      <c r="B394" s="1">
        <v>145</v>
      </c>
      <c r="C394" s="1">
        <v>0.41567999999999999</v>
      </c>
      <c r="D394" s="108">
        <f t="shared" si="18"/>
        <v>60.289395840000005</v>
      </c>
      <c r="E394" s="1">
        <v>921.6</v>
      </c>
      <c r="F394" s="1">
        <f t="shared" si="19"/>
        <v>2.2423535743115974</v>
      </c>
      <c r="G394" s="1">
        <v>0.44596000000000002</v>
      </c>
      <c r="H394" s="1">
        <v>610.64</v>
      </c>
      <c r="I394" s="1">
        <v>2739.8</v>
      </c>
      <c r="J394" s="1">
        <v>1.7907</v>
      </c>
      <c r="K394" s="1">
        <v>6.8826000000000001</v>
      </c>
      <c r="L394" s="1">
        <v>4.2939999999999996</v>
      </c>
      <c r="M394" s="1">
        <v>2.351</v>
      </c>
      <c r="N394" s="1">
        <v>1.363</v>
      </c>
      <c r="O394" s="1">
        <v>1476</v>
      </c>
      <c r="P394" s="1">
        <v>491.6</v>
      </c>
      <c r="Q394" s="1">
        <v>189.2</v>
      </c>
      <c r="R394" s="1">
        <v>13.82</v>
      </c>
      <c r="S394" s="1">
        <v>682.8</v>
      </c>
      <c r="T394" s="1">
        <v>30.86</v>
      </c>
      <c r="U394" s="1">
        <v>49.8</v>
      </c>
      <c r="V394" s="1">
        <v>145</v>
      </c>
    </row>
    <row r="395" spans="2:22">
      <c r="B395" s="1">
        <v>150</v>
      </c>
      <c r="C395" s="1">
        <v>0.47616000000000003</v>
      </c>
      <c r="D395" s="108">
        <f t="shared" si="18"/>
        <v>69.06129408000001</v>
      </c>
      <c r="E395" s="1">
        <v>917</v>
      </c>
      <c r="F395" s="1">
        <f t="shared" si="19"/>
        <v>2.5480952987641738</v>
      </c>
      <c r="G395" s="1">
        <v>0.39245000000000002</v>
      </c>
      <c r="H395" s="1">
        <v>632.17999999999995</v>
      </c>
      <c r="I395" s="1">
        <v>2745.93</v>
      </c>
      <c r="J395" s="1">
        <v>1.8418000000000001</v>
      </c>
      <c r="K395" s="1">
        <v>6.8371000000000004</v>
      </c>
      <c r="L395" s="1">
        <v>4.3070000000000004</v>
      </c>
      <c r="M395" s="1">
        <v>2.3940000000000001</v>
      </c>
      <c r="N395" s="1">
        <v>1.3680000000000001</v>
      </c>
      <c r="O395" s="1">
        <v>1466</v>
      </c>
      <c r="P395" s="1">
        <v>493.3</v>
      </c>
      <c r="Q395" s="1">
        <v>182.5</v>
      </c>
      <c r="R395" s="1">
        <v>13.99</v>
      </c>
      <c r="S395" s="1">
        <v>682</v>
      </c>
      <c r="T395" s="1">
        <v>31.6</v>
      </c>
      <c r="U395" s="1">
        <v>48.74</v>
      </c>
      <c r="V395" s="1">
        <v>150</v>
      </c>
    </row>
    <row r="396" spans="2:22">
      <c r="B396" s="1">
        <v>155</v>
      </c>
      <c r="C396" s="1">
        <v>0.54349999999999998</v>
      </c>
      <c r="D396" s="108">
        <f t="shared" si="18"/>
        <v>78.828153</v>
      </c>
      <c r="E396" s="1">
        <v>912.3</v>
      </c>
      <c r="F396" s="1">
        <f t="shared" si="19"/>
        <v>2.8863360849737343</v>
      </c>
      <c r="G396" s="1">
        <v>0.34645999999999999</v>
      </c>
      <c r="H396" s="1">
        <v>653.79</v>
      </c>
      <c r="I396" s="1">
        <v>2751.81</v>
      </c>
      <c r="J396" s="1">
        <v>1.8924000000000001</v>
      </c>
      <c r="K396" s="1">
        <v>6.7926000000000002</v>
      </c>
      <c r="L396" s="1">
        <v>4.3209999999999997</v>
      </c>
      <c r="M396" s="1">
        <v>2.44</v>
      </c>
      <c r="N396" s="1">
        <v>1.373</v>
      </c>
      <c r="O396" s="1">
        <v>1455</v>
      </c>
      <c r="P396" s="1">
        <v>494.8</v>
      </c>
      <c r="Q396" s="1">
        <v>176.1</v>
      </c>
      <c r="R396" s="1">
        <v>14.16</v>
      </c>
      <c r="S396" s="1">
        <v>681.1</v>
      </c>
      <c r="T396" s="1">
        <v>32.35</v>
      </c>
      <c r="U396" s="1">
        <v>47.67</v>
      </c>
      <c r="V396" s="1">
        <v>155</v>
      </c>
    </row>
    <row r="397" spans="2:22">
      <c r="B397" s="1">
        <v>160</v>
      </c>
      <c r="C397" s="1">
        <v>0.61822999999999995</v>
      </c>
      <c r="D397" s="108">
        <f t="shared" si="18"/>
        <v>89.666842739999993</v>
      </c>
      <c r="E397" s="1">
        <v>907.4</v>
      </c>
      <c r="F397" s="1">
        <f t="shared" si="19"/>
        <v>3.2596649064476173</v>
      </c>
      <c r="G397" s="1">
        <v>0.30678</v>
      </c>
      <c r="H397" s="1">
        <v>675.47</v>
      </c>
      <c r="I397" s="1">
        <v>2757.44</v>
      </c>
      <c r="J397" s="1">
        <v>1.9426000000000001</v>
      </c>
      <c r="K397" s="1">
        <v>6.7491000000000003</v>
      </c>
      <c r="L397" s="1">
        <v>4.335</v>
      </c>
      <c r="M397" s="1">
        <v>2.488</v>
      </c>
      <c r="N397" s="1">
        <v>1.379</v>
      </c>
      <c r="O397" s="1">
        <v>1443</v>
      </c>
      <c r="P397" s="1">
        <v>496.3</v>
      </c>
      <c r="Q397" s="1">
        <v>170.2</v>
      </c>
      <c r="R397" s="1">
        <v>14.34</v>
      </c>
      <c r="S397" s="1">
        <v>680</v>
      </c>
      <c r="T397" s="1">
        <v>33.130000000000003</v>
      </c>
      <c r="U397" s="1">
        <v>46.59</v>
      </c>
      <c r="V397" s="1">
        <v>160</v>
      </c>
    </row>
    <row r="398" spans="2:22">
      <c r="B398" s="1">
        <v>165</v>
      </c>
      <c r="C398" s="1">
        <v>0.70093000000000005</v>
      </c>
      <c r="D398" s="108">
        <f t="shared" si="18"/>
        <v>101.66148534000001</v>
      </c>
      <c r="E398" s="1">
        <v>902.5</v>
      </c>
      <c r="F398" s="1">
        <f t="shared" si="19"/>
        <v>3.6706676944536212</v>
      </c>
      <c r="G398" s="1">
        <v>0.27243000000000001</v>
      </c>
      <c r="H398" s="1">
        <v>697.24</v>
      </c>
      <c r="I398" s="1">
        <v>2762.81</v>
      </c>
      <c r="J398" s="1">
        <v>1.9923</v>
      </c>
      <c r="K398" s="1">
        <v>6.7065999999999999</v>
      </c>
      <c r="L398" s="1">
        <v>4.351</v>
      </c>
      <c r="M398" s="1">
        <v>2.54</v>
      </c>
      <c r="N398" s="1">
        <v>1.385</v>
      </c>
      <c r="O398" s="1">
        <v>1431</v>
      </c>
      <c r="P398" s="1">
        <v>497.6</v>
      </c>
      <c r="Q398" s="1">
        <v>164.7</v>
      </c>
      <c r="R398" s="1">
        <v>14.51</v>
      </c>
      <c r="S398" s="1">
        <v>678.6</v>
      </c>
      <c r="T398" s="1">
        <v>33.93</v>
      </c>
      <c r="U398" s="1">
        <v>45.5</v>
      </c>
      <c r="V398" s="1">
        <v>165</v>
      </c>
    </row>
    <row r="399" spans="2:22">
      <c r="B399" s="1">
        <v>170</v>
      </c>
      <c r="C399" s="1">
        <v>0.79218999999999995</v>
      </c>
      <c r="D399" s="108">
        <f t="shared" si="18"/>
        <v>114.89765322</v>
      </c>
      <c r="E399" s="1">
        <v>897.5</v>
      </c>
      <c r="F399" s="1">
        <f t="shared" si="19"/>
        <v>4.1221814584278</v>
      </c>
      <c r="G399" s="1">
        <v>0.24259</v>
      </c>
      <c r="H399" s="1">
        <v>719.08</v>
      </c>
      <c r="I399" s="1">
        <v>2767.9</v>
      </c>
      <c r="J399" s="1">
        <v>2.0417000000000001</v>
      </c>
      <c r="K399" s="1">
        <v>6.665</v>
      </c>
      <c r="L399" s="1">
        <v>4.3680000000000003</v>
      </c>
      <c r="M399" s="1">
        <v>2.5939999999999999</v>
      </c>
      <c r="N399" s="1">
        <v>1.3919999999999999</v>
      </c>
      <c r="O399" s="1">
        <v>1419</v>
      </c>
      <c r="P399" s="1">
        <v>498.9</v>
      </c>
      <c r="Q399" s="1">
        <v>159.6</v>
      </c>
      <c r="R399" s="1">
        <v>14.68</v>
      </c>
      <c r="S399" s="1">
        <v>677</v>
      </c>
      <c r="T399" s="1">
        <v>34.75</v>
      </c>
      <c r="U399" s="1">
        <v>44.41</v>
      </c>
      <c r="V399" s="1">
        <v>170</v>
      </c>
    </row>
    <row r="400" spans="2:22">
      <c r="B400" s="1">
        <v>175</v>
      </c>
      <c r="C400" s="1">
        <v>0.89259999999999995</v>
      </c>
      <c r="D400" s="108">
        <f t="shared" si="18"/>
        <v>129.4609188</v>
      </c>
      <c r="E400" s="1">
        <v>892.3</v>
      </c>
      <c r="F400" s="1">
        <f t="shared" si="19"/>
        <v>4.6172315079878103</v>
      </c>
      <c r="G400" s="1">
        <v>0.21657999999999999</v>
      </c>
      <c r="H400" s="1">
        <v>741.02</v>
      </c>
      <c r="I400" s="1">
        <v>2772.71</v>
      </c>
      <c r="J400" s="1">
        <v>2.0905999999999998</v>
      </c>
      <c r="K400" s="1">
        <v>6.6241000000000003</v>
      </c>
      <c r="L400" s="1">
        <v>4.3860000000000001</v>
      </c>
      <c r="M400" s="1">
        <v>2.6520000000000001</v>
      </c>
      <c r="N400" s="1">
        <v>1.399</v>
      </c>
      <c r="O400" s="1">
        <v>1405</v>
      </c>
      <c r="P400" s="1">
        <v>500</v>
      </c>
      <c r="Q400" s="1">
        <v>154.69999999999999</v>
      </c>
      <c r="R400" s="1">
        <v>14.85</v>
      </c>
      <c r="S400" s="1">
        <v>675.3</v>
      </c>
      <c r="T400" s="1">
        <v>35.590000000000003</v>
      </c>
      <c r="U400" s="1">
        <v>43.3</v>
      </c>
      <c r="V400" s="1">
        <v>175</v>
      </c>
    </row>
    <row r="401" spans="2:22">
      <c r="B401" s="1">
        <v>180</v>
      </c>
      <c r="C401" s="1">
        <v>1.0027999999999999</v>
      </c>
      <c r="D401" s="108">
        <f t="shared" si="18"/>
        <v>145.44410640000001</v>
      </c>
      <c r="E401" s="1">
        <v>887</v>
      </c>
      <c r="F401" s="1">
        <f t="shared" si="19"/>
        <v>5.1588939331407344</v>
      </c>
      <c r="G401" s="1">
        <v>0.19384000000000001</v>
      </c>
      <c r="H401" s="1">
        <v>763.05</v>
      </c>
      <c r="I401" s="1">
        <v>2777.21</v>
      </c>
      <c r="J401" s="1">
        <v>2.1392000000000002</v>
      </c>
      <c r="K401" s="1">
        <v>6.5839999999999996</v>
      </c>
      <c r="L401" s="1">
        <v>4.4050000000000002</v>
      </c>
      <c r="M401" s="1">
        <v>2.7130000000000001</v>
      </c>
      <c r="N401" s="1">
        <v>1.407</v>
      </c>
      <c r="O401" s="1">
        <v>1392</v>
      </c>
      <c r="P401" s="1">
        <v>501</v>
      </c>
      <c r="Q401" s="1">
        <v>150.1</v>
      </c>
      <c r="R401" s="1">
        <v>15.03</v>
      </c>
      <c r="S401" s="1">
        <v>673.3</v>
      </c>
      <c r="T401" s="1">
        <v>36.450000000000003</v>
      </c>
      <c r="U401" s="1">
        <v>42.19</v>
      </c>
      <c r="V401" s="1">
        <v>180</v>
      </c>
    </row>
    <row r="402" spans="2:22">
      <c r="B402" s="1">
        <v>185</v>
      </c>
      <c r="C402" s="1">
        <v>1.1234999999999999</v>
      </c>
      <c r="D402" s="108">
        <f t="shared" si="18"/>
        <v>162.95019300000001</v>
      </c>
      <c r="E402" s="1">
        <v>881.6</v>
      </c>
      <c r="F402" s="1">
        <f t="shared" si="19"/>
        <v>5.7504312823461756</v>
      </c>
      <c r="G402" s="1">
        <v>0.1739</v>
      </c>
      <c r="H402" s="1">
        <v>785.19</v>
      </c>
      <c r="I402" s="1">
        <v>2781.41</v>
      </c>
      <c r="J402" s="1">
        <v>2.1875</v>
      </c>
      <c r="K402" s="1">
        <v>6.5446999999999997</v>
      </c>
      <c r="L402" s="1">
        <v>4.4249999999999998</v>
      </c>
      <c r="M402" s="1">
        <v>2.7770000000000001</v>
      </c>
      <c r="N402" s="1">
        <v>1.4159999999999999</v>
      </c>
      <c r="O402" s="1">
        <v>1378</v>
      </c>
      <c r="P402" s="1">
        <v>501.9</v>
      </c>
      <c r="Q402" s="1">
        <v>145.80000000000001</v>
      </c>
      <c r="R402" s="1">
        <v>15.2</v>
      </c>
      <c r="S402" s="1">
        <v>671.1</v>
      </c>
      <c r="T402" s="1">
        <v>37.33</v>
      </c>
      <c r="U402" s="1">
        <v>41.07</v>
      </c>
      <c r="V402" s="1">
        <v>185</v>
      </c>
    </row>
    <row r="403" spans="2:22">
      <c r="B403" s="1">
        <v>190</v>
      </c>
      <c r="C403" s="1">
        <v>1.2552000000000001</v>
      </c>
      <c r="D403" s="108">
        <f t="shared" si="18"/>
        <v>182.05169760000004</v>
      </c>
      <c r="E403" s="1">
        <v>876.1</v>
      </c>
      <c r="F403" s="1">
        <f t="shared" si="19"/>
        <v>6.3954975697109235</v>
      </c>
      <c r="G403" s="1">
        <v>0.15636</v>
      </c>
      <c r="H403" s="1">
        <v>807.43</v>
      </c>
      <c r="I403" s="1">
        <v>2785.28</v>
      </c>
      <c r="J403" s="1">
        <v>2.2355</v>
      </c>
      <c r="K403" s="1">
        <v>6.5058999999999996</v>
      </c>
      <c r="L403" s="1">
        <v>4.4470000000000001</v>
      </c>
      <c r="M403" s="1">
        <v>2.8439999999999999</v>
      </c>
      <c r="N403" s="1">
        <v>1.425</v>
      </c>
      <c r="O403" s="1">
        <v>1363</v>
      </c>
      <c r="P403" s="1">
        <v>502.7</v>
      </c>
      <c r="Q403" s="1">
        <v>141.80000000000001</v>
      </c>
      <c r="R403" s="1">
        <v>15.37</v>
      </c>
      <c r="S403" s="1">
        <v>668.8</v>
      </c>
      <c r="T403" s="1">
        <v>38.24</v>
      </c>
      <c r="U403" s="1">
        <v>39.950000000000003</v>
      </c>
      <c r="V403" s="1">
        <v>190</v>
      </c>
    </row>
    <row r="404" spans="2:22">
      <c r="B404" s="1">
        <v>195</v>
      </c>
      <c r="C404" s="1">
        <v>1.3988</v>
      </c>
      <c r="D404" s="108">
        <f t="shared" si="18"/>
        <v>202.87915440000003</v>
      </c>
      <c r="E404" s="1">
        <v>870.4</v>
      </c>
      <c r="F404" s="1">
        <f t="shared" si="19"/>
        <v>7.0977358222726954</v>
      </c>
      <c r="G404" s="1">
        <v>0.14088999999999999</v>
      </c>
      <c r="H404" s="1">
        <v>829.79</v>
      </c>
      <c r="I404" s="1">
        <v>2788.82</v>
      </c>
      <c r="J404" s="1">
        <v>2.2831999999999999</v>
      </c>
      <c r="K404" s="1">
        <v>6.4678000000000004</v>
      </c>
      <c r="L404" s="1">
        <v>4.4710000000000001</v>
      </c>
      <c r="M404" s="1">
        <v>2.915</v>
      </c>
      <c r="N404" s="1">
        <v>1.4359999999999999</v>
      </c>
      <c r="O404" s="1">
        <v>1348</v>
      </c>
      <c r="P404" s="1">
        <v>503.4</v>
      </c>
      <c r="Q404" s="1">
        <v>137.9</v>
      </c>
      <c r="R404" s="1">
        <v>15.54</v>
      </c>
      <c r="S404" s="1">
        <v>666.1</v>
      </c>
      <c r="T404" s="1">
        <v>39.159999999999997</v>
      </c>
      <c r="U404" s="1">
        <v>38.81</v>
      </c>
      <c r="V404" s="1">
        <v>195</v>
      </c>
    </row>
    <row r="405" spans="2:22">
      <c r="B405" s="1">
        <v>200</v>
      </c>
      <c r="C405" s="1">
        <v>1.5548999999999999</v>
      </c>
      <c r="D405" s="108">
        <f t="shared" si="18"/>
        <v>225.51958620000002</v>
      </c>
      <c r="E405" s="1">
        <v>864.7</v>
      </c>
      <c r="F405" s="1">
        <f t="shared" si="19"/>
        <v>7.8610172156277027</v>
      </c>
      <c r="G405" s="1">
        <v>0.12720999999999999</v>
      </c>
      <c r="H405" s="1">
        <v>852.27</v>
      </c>
      <c r="I405" s="1">
        <v>2792.01</v>
      </c>
      <c r="J405" s="1">
        <v>2.3304999999999998</v>
      </c>
      <c r="K405" s="1">
        <v>6.4302000000000001</v>
      </c>
      <c r="L405" s="1">
        <v>4.4960000000000004</v>
      </c>
      <c r="M405" s="1">
        <v>2.99</v>
      </c>
      <c r="N405" s="1">
        <v>1.4470000000000001</v>
      </c>
      <c r="O405" s="1">
        <v>1332</v>
      </c>
      <c r="P405" s="1">
        <v>503.9</v>
      </c>
      <c r="Q405" s="1">
        <v>134.30000000000001</v>
      </c>
      <c r="R405" s="1">
        <v>15.71</v>
      </c>
      <c r="S405" s="1">
        <v>663.3</v>
      </c>
      <c r="T405" s="1">
        <v>40.11</v>
      </c>
      <c r="U405" s="1">
        <v>37.67</v>
      </c>
      <c r="V405" s="1">
        <v>200</v>
      </c>
    </row>
    <row r="406" spans="2:22">
      <c r="B406" s="1">
        <v>205</v>
      </c>
      <c r="C406" s="1">
        <v>1.7242999999999999</v>
      </c>
      <c r="D406" s="108">
        <f t="shared" si="18"/>
        <v>250.0890234</v>
      </c>
      <c r="E406" s="1">
        <v>858.8</v>
      </c>
      <c r="F406" s="1">
        <f t="shared" si="19"/>
        <v>8.6896072297532143</v>
      </c>
      <c r="G406" s="1">
        <v>0.11508</v>
      </c>
      <c r="H406" s="1">
        <v>874.88</v>
      </c>
      <c r="I406" s="1">
        <v>2794.83</v>
      </c>
      <c r="J406" s="1">
        <v>2.3776999999999999</v>
      </c>
      <c r="K406" s="1">
        <v>6.3929999999999998</v>
      </c>
      <c r="L406" s="1">
        <v>4.5229999999999997</v>
      </c>
      <c r="M406" s="1">
        <v>3.0680000000000001</v>
      </c>
      <c r="N406" s="1">
        <v>1.4590000000000001</v>
      </c>
      <c r="O406" s="1">
        <v>1316</v>
      </c>
      <c r="P406" s="1">
        <v>504.3</v>
      </c>
      <c r="Q406" s="1">
        <v>130.9</v>
      </c>
      <c r="R406" s="1">
        <v>15.89</v>
      </c>
      <c r="S406" s="1">
        <v>660.3</v>
      </c>
      <c r="T406" s="1">
        <v>41.09</v>
      </c>
      <c r="U406" s="1">
        <v>36.53</v>
      </c>
      <c r="V406" s="1">
        <v>205</v>
      </c>
    </row>
    <row r="407" spans="2:22">
      <c r="B407" s="1">
        <v>210</v>
      </c>
      <c r="C407" s="1">
        <v>1.9077</v>
      </c>
      <c r="D407" s="108">
        <f t="shared" si="18"/>
        <v>276.68899260000001</v>
      </c>
      <c r="E407" s="1">
        <v>852.7</v>
      </c>
      <c r="F407" s="1">
        <f t="shared" si="19"/>
        <v>9.5886470419023873</v>
      </c>
      <c r="G407" s="1">
        <v>0.10428999999999999</v>
      </c>
      <c r="H407" s="1">
        <v>897.63</v>
      </c>
      <c r="I407" s="1">
        <v>2797.27</v>
      </c>
      <c r="J407" s="1">
        <v>2.4245000000000001</v>
      </c>
      <c r="K407" s="1">
        <v>6.3563000000000001</v>
      </c>
      <c r="L407" s="1">
        <v>4.5510000000000002</v>
      </c>
      <c r="M407" s="1">
        <v>3.15</v>
      </c>
      <c r="N407" s="1">
        <v>1.472</v>
      </c>
      <c r="O407" s="1">
        <v>1299</v>
      </c>
      <c r="P407" s="1">
        <v>504.6</v>
      </c>
      <c r="Q407" s="1">
        <v>127.6</v>
      </c>
      <c r="R407" s="1">
        <v>16.059999999999999</v>
      </c>
      <c r="S407" s="1">
        <v>657</v>
      </c>
      <c r="T407" s="1">
        <v>42.09</v>
      </c>
      <c r="U407" s="1">
        <v>35.380000000000003</v>
      </c>
      <c r="V407" s="1">
        <v>210</v>
      </c>
    </row>
    <row r="408" spans="2:22">
      <c r="B408" s="1">
        <v>215</v>
      </c>
      <c r="C408" s="1">
        <v>2.1057999999999999</v>
      </c>
      <c r="D408" s="108">
        <f t="shared" si="18"/>
        <v>305.42102040000003</v>
      </c>
      <c r="E408" s="1">
        <v>846.5</v>
      </c>
      <c r="F408" s="1">
        <f t="shared" si="19"/>
        <v>10.561892691170257</v>
      </c>
      <c r="G408" s="1">
        <v>9.468E-2</v>
      </c>
      <c r="H408" s="1">
        <v>920.53</v>
      </c>
      <c r="I408" s="1">
        <v>2799.32</v>
      </c>
      <c r="J408" s="1">
        <v>2.4712000000000001</v>
      </c>
      <c r="K408" s="1">
        <v>6.32</v>
      </c>
      <c r="L408" s="1">
        <v>4.5819999999999999</v>
      </c>
      <c r="M408" s="1">
        <v>3.2370000000000001</v>
      </c>
      <c r="N408" s="1">
        <v>1.486</v>
      </c>
      <c r="O408" s="1">
        <v>1282</v>
      </c>
      <c r="P408" s="1">
        <v>504.8</v>
      </c>
      <c r="Q408" s="1">
        <v>124.5</v>
      </c>
      <c r="R408" s="1">
        <v>16.239999999999998</v>
      </c>
      <c r="S408" s="1">
        <v>653.4</v>
      </c>
      <c r="T408" s="1">
        <v>43.11</v>
      </c>
      <c r="U408" s="1">
        <v>34.229999999999997</v>
      </c>
      <c r="V408" s="1">
        <v>215</v>
      </c>
    </row>
    <row r="409" spans="2:22">
      <c r="B409" s="1">
        <v>220</v>
      </c>
      <c r="C409" s="1">
        <v>2.3195999999999999</v>
      </c>
      <c r="D409" s="108">
        <f t="shared" si="18"/>
        <v>336.43014479999999</v>
      </c>
      <c r="E409" s="1">
        <v>840.2</v>
      </c>
      <c r="F409" s="1">
        <f t="shared" si="19"/>
        <v>11.615750958299454</v>
      </c>
      <c r="G409" s="1">
        <v>8.609E-2</v>
      </c>
      <c r="H409" s="1">
        <v>943.58</v>
      </c>
      <c r="I409" s="1">
        <v>2800.95</v>
      </c>
      <c r="J409" s="1">
        <v>2.5177</v>
      </c>
      <c r="K409" s="1">
        <v>6.2839999999999998</v>
      </c>
      <c r="L409" s="1">
        <v>4.6150000000000002</v>
      </c>
      <c r="M409" s="1">
        <v>3.3290000000000002</v>
      </c>
      <c r="N409" s="1">
        <v>1.5009999999999999</v>
      </c>
      <c r="O409" s="1">
        <v>1264</v>
      </c>
      <c r="P409" s="1">
        <v>504.8</v>
      </c>
      <c r="Q409" s="1">
        <v>121.5</v>
      </c>
      <c r="R409" s="1">
        <v>16.41</v>
      </c>
      <c r="S409" s="1">
        <v>649.70000000000005</v>
      </c>
      <c r="T409" s="1">
        <v>44.17</v>
      </c>
      <c r="U409" s="1">
        <v>33.07</v>
      </c>
      <c r="V409" s="1">
        <v>220</v>
      </c>
    </row>
    <row r="410" spans="2:22">
      <c r="B410" s="1">
        <v>225</v>
      </c>
      <c r="C410" s="1">
        <v>2.5497000000000001</v>
      </c>
      <c r="D410" s="108">
        <f t="shared" si="18"/>
        <v>369.80338860000006</v>
      </c>
      <c r="E410" s="1">
        <v>833.7</v>
      </c>
      <c r="F410" s="1">
        <f t="shared" si="19"/>
        <v>12.755102040816327</v>
      </c>
      <c r="G410" s="1">
        <v>7.8399999999999997E-2</v>
      </c>
      <c r="H410" s="1">
        <v>966.8</v>
      </c>
      <c r="I410" s="1">
        <v>2802.15</v>
      </c>
      <c r="J410" s="1">
        <v>2.5640000000000001</v>
      </c>
      <c r="K410" s="1">
        <v>6.2483000000000004</v>
      </c>
      <c r="L410" s="1">
        <v>4.6500000000000004</v>
      </c>
      <c r="M410" s="1">
        <v>3.4260000000000002</v>
      </c>
      <c r="N410" s="1">
        <v>1.518</v>
      </c>
      <c r="O410" s="1">
        <v>1246</v>
      </c>
      <c r="P410" s="1">
        <v>504.6</v>
      </c>
      <c r="Q410" s="1">
        <v>118.7</v>
      </c>
      <c r="R410" s="1">
        <v>16.59</v>
      </c>
      <c r="S410" s="1">
        <v>645.6</v>
      </c>
      <c r="T410" s="1">
        <v>45.26</v>
      </c>
      <c r="U410" s="1">
        <v>31.9</v>
      </c>
      <c r="V410" s="1">
        <v>225</v>
      </c>
    </row>
    <row r="411" spans="2:22">
      <c r="B411" s="1">
        <v>230</v>
      </c>
      <c r="C411" s="1">
        <v>2.7970999999999999</v>
      </c>
      <c r="D411" s="108">
        <f t="shared" si="18"/>
        <v>405.68578980000001</v>
      </c>
      <c r="E411" s="1">
        <v>827.1</v>
      </c>
      <c r="F411" s="1">
        <f t="shared" si="19"/>
        <v>13.986013986013987</v>
      </c>
      <c r="G411" s="1">
        <v>7.1499999999999994E-2</v>
      </c>
      <c r="H411" s="1">
        <v>990.19</v>
      </c>
      <c r="I411" s="1">
        <v>2802.9</v>
      </c>
      <c r="J411" s="1">
        <v>2.6101000000000001</v>
      </c>
      <c r="K411" s="1">
        <v>6.2127999999999997</v>
      </c>
      <c r="L411" s="1">
        <v>4.6879999999999997</v>
      </c>
      <c r="M411" s="1">
        <v>3.528</v>
      </c>
      <c r="N411" s="1">
        <v>1.536</v>
      </c>
      <c r="O411" s="1">
        <v>1228</v>
      </c>
      <c r="P411" s="1">
        <v>504.4</v>
      </c>
      <c r="Q411" s="1">
        <v>116</v>
      </c>
      <c r="R411" s="1">
        <v>16.760000000000002</v>
      </c>
      <c r="S411" s="1">
        <v>641.29999999999995</v>
      </c>
      <c r="T411" s="1">
        <v>46.38</v>
      </c>
      <c r="U411" s="1">
        <v>30.74</v>
      </c>
      <c r="V411" s="1">
        <v>230</v>
      </c>
    </row>
    <row r="412" spans="2:22">
      <c r="B412" s="1">
        <v>235</v>
      </c>
      <c r="C412" s="1">
        <v>3.0625</v>
      </c>
      <c r="D412" s="108">
        <f t="shared" si="18"/>
        <v>444.17887500000006</v>
      </c>
      <c r="E412" s="1">
        <v>820.3</v>
      </c>
      <c r="F412" s="1">
        <f t="shared" si="19"/>
        <v>15.313935681470138</v>
      </c>
      <c r="G412" s="1">
        <v>6.5299999999999997E-2</v>
      </c>
      <c r="H412" s="1">
        <v>1013.77</v>
      </c>
      <c r="I412" s="1">
        <v>2803.17</v>
      </c>
      <c r="J412" s="1">
        <v>2.6560999999999999</v>
      </c>
      <c r="K412" s="1">
        <v>6.1775000000000002</v>
      </c>
      <c r="L412" s="1">
        <v>4.7279999999999998</v>
      </c>
      <c r="M412" s="1">
        <v>3.6379999999999999</v>
      </c>
      <c r="N412" s="1">
        <v>1.556</v>
      </c>
      <c r="O412" s="1">
        <v>1209</v>
      </c>
      <c r="P412" s="1">
        <v>503.9</v>
      </c>
      <c r="Q412" s="1">
        <v>113.4</v>
      </c>
      <c r="R412" s="1">
        <v>16.940000000000001</v>
      </c>
      <c r="S412" s="1">
        <v>636.70000000000005</v>
      </c>
      <c r="T412" s="1">
        <v>47.53</v>
      </c>
      <c r="U412" s="1">
        <v>29.57</v>
      </c>
      <c r="V412" s="1">
        <v>235</v>
      </c>
    </row>
    <row r="413" spans="2:22">
      <c r="B413" s="1">
        <v>240</v>
      </c>
      <c r="C413" s="1">
        <v>3.3469000000000002</v>
      </c>
      <c r="D413" s="108">
        <f t="shared" si="18"/>
        <v>485.42768220000005</v>
      </c>
      <c r="E413" s="1">
        <v>813.4</v>
      </c>
      <c r="F413" s="1">
        <f t="shared" si="19"/>
        <v>16.75041876046901</v>
      </c>
      <c r="G413" s="1">
        <v>5.9700000000000003E-2</v>
      </c>
      <c r="H413" s="1">
        <v>1037.55</v>
      </c>
      <c r="I413" s="1">
        <v>2802.96</v>
      </c>
      <c r="J413" s="1">
        <v>2.702</v>
      </c>
      <c r="K413" s="1">
        <v>6.1422999999999996</v>
      </c>
      <c r="L413" s="1">
        <v>4.7720000000000002</v>
      </c>
      <c r="M413" s="1">
        <v>3.754</v>
      </c>
      <c r="N413" s="1">
        <v>1.5780000000000001</v>
      </c>
      <c r="O413" s="1">
        <v>1189</v>
      </c>
      <c r="P413" s="1">
        <v>503.3</v>
      </c>
      <c r="Q413" s="1">
        <v>110.9</v>
      </c>
      <c r="R413" s="1">
        <v>17.12</v>
      </c>
      <c r="S413" s="1">
        <v>631.79999999999995</v>
      </c>
      <c r="T413" s="1">
        <v>48.73</v>
      </c>
      <c r="U413" s="1">
        <v>28.39</v>
      </c>
      <c r="V413" s="1">
        <v>240</v>
      </c>
    </row>
    <row r="414" spans="2:22">
      <c r="B414" s="1">
        <v>245</v>
      </c>
      <c r="C414" s="1">
        <v>3.6511999999999998</v>
      </c>
      <c r="D414" s="108">
        <f t="shared" si="18"/>
        <v>529.56274559999997</v>
      </c>
      <c r="E414" s="1">
        <v>806.2</v>
      </c>
      <c r="F414" s="1">
        <f t="shared" si="19"/>
        <v>18.298261665141812</v>
      </c>
      <c r="G414" s="1">
        <v>5.4649999999999997E-2</v>
      </c>
      <c r="H414" s="1">
        <v>1061.55</v>
      </c>
      <c r="I414" s="1">
        <v>2802.22</v>
      </c>
      <c r="J414" s="1">
        <v>2.7477999999999998</v>
      </c>
      <c r="K414" s="1">
        <v>6.1071999999999997</v>
      </c>
      <c r="L414" s="1">
        <v>4.819</v>
      </c>
      <c r="M414" s="1">
        <v>3.8780000000000001</v>
      </c>
      <c r="N414" s="1">
        <v>1.601</v>
      </c>
      <c r="O414" s="1">
        <v>1169</v>
      </c>
      <c r="P414" s="1">
        <v>502.6</v>
      </c>
      <c r="Q414" s="1">
        <v>108.4</v>
      </c>
      <c r="R414" s="1">
        <v>17.309999999999999</v>
      </c>
      <c r="S414" s="1">
        <v>626.70000000000005</v>
      </c>
      <c r="T414" s="1">
        <v>49.97</v>
      </c>
      <c r="U414" s="1">
        <v>27.22</v>
      </c>
      <c r="V414" s="1">
        <v>245</v>
      </c>
    </row>
    <row r="415" spans="2:22">
      <c r="B415" s="1">
        <v>250</v>
      </c>
      <c r="C415" s="1">
        <v>3.9762</v>
      </c>
      <c r="D415" s="108">
        <f t="shared" si="18"/>
        <v>576.70009560000005</v>
      </c>
      <c r="E415" s="1">
        <v>798.9</v>
      </c>
      <c r="F415" s="1">
        <f t="shared" si="19"/>
        <v>19.968051118210862</v>
      </c>
      <c r="G415" s="1">
        <v>5.008E-2</v>
      </c>
      <c r="H415" s="1">
        <v>1085.77</v>
      </c>
      <c r="I415" s="1">
        <v>2800.93</v>
      </c>
      <c r="J415" s="1">
        <v>2.7934999999999999</v>
      </c>
      <c r="K415" s="1">
        <v>6.0720999999999998</v>
      </c>
      <c r="L415" s="1">
        <v>4.87</v>
      </c>
      <c r="M415" s="1">
        <v>4.0110000000000001</v>
      </c>
      <c r="N415" s="1">
        <v>1.627</v>
      </c>
      <c r="O415" s="1">
        <v>1148</v>
      </c>
      <c r="P415" s="1">
        <v>501.6</v>
      </c>
      <c r="Q415" s="1">
        <v>106.1</v>
      </c>
      <c r="R415" s="1">
        <v>17.489999999999998</v>
      </c>
      <c r="S415" s="1">
        <v>621.20000000000005</v>
      </c>
      <c r="T415" s="1">
        <v>51.26</v>
      </c>
      <c r="U415" s="1">
        <v>26.04</v>
      </c>
      <c r="V415" s="1">
        <v>250</v>
      </c>
    </row>
    <row r="416" spans="2:22">
      <c r="B416" s="1">
        <v>255</v>
      </c>
      <c r="C416" s="1">
        <v>4.3228999999999997</v>
      </c>
      <c r="D416" s="108">
        <f t="shared" si="18"/>
        <v>626.98477019999996</v>
      </c>
      <c r="E416" s="1">
        <v>791.4</v>
      </c>
      <c r="F416" s="1">
        <f t="shared" si="19"/>
        <v>21.767522855898999</v>
      </c>
      <c r="G416" s="1">
        <v>4.5940000000000002E-2</v>
      </c>
      <c r="H416" s="1">
        <v>1110.23</v>
      </c>
      <c r="I416" s="1">
        <v>2799.07</v>
      </c>
      <c r="J416" s="1">
        <v>2.8391999999999999</v>
      </c>
      <c r="K416" s="1">
        <v>6.0369000000000002</v>
      </c>
      <c r="L416" s="1">
        <v>4.9249999999999998</v>
      </c>
      <c r="M416" s="1">
        <v>4.1529999999999996</v>
      </c>
      <c r="N416" s="1">
        <v>1.655</v>
      </c>
      <c r="O416" s="1">
        <v>1127</v>
      </c>
      <c r="P416" s="1">
        <v>500.5</v>
      </c>
      <c r="Q416" s="1">
        <v>103.9</v>
      </c>
      <c r="R416" s="1">
        <v>17.68</v>
      </c>
      <c r="S416" s="1">
        <v>615.4</v>
      </c>
      <c r="T416" s="1">
        <v>52.61</v>
      </c>
      <c r="U416" s="1">
        <v>24.87</v>
      </c>
      <c r="V416" s="1">
        <v>255</v>
      </c>
    </row>
    <row r="417" spans="2:22">
      <c r="B417" s="1">
        <v>260</v>
      </c>
      <c r="C417" s="1">
        <v>4.6923000000000004</v>
      </c>
      <c r="D417" s="108">
        <f t="shared" si="18"/>
        <v>680.56180740000013</v>
      </c>
      <c r="E417" s="1">
        <v>783.6</v>
      </c>
      <c r="F417" s="1">
        <f t="shared" si="19"/>
        <v>23.713540431586438</v>
      </c>
      <c r="G417" s="1">
        <v>4.2169999999999999E-2</v>
      </c>
      <c r="H417" s="1">
        <v>1134.96</v>
      </c>
      <c r="I417" s="1">
        <v>2796.6</v>
      </c>
      <c r="J417" s="1">
        <v>2.8849</v>
      </c>
      <c r="K417" s="1">
        <v>6.0015999999999998</v>
      </c>
      <c r="L417" s="1">
        <v>4.9859999999999998</v>
      </c>
      <c r="M417" s="1">
        <v>4.3079999999999998</v>
      </c>
      <c r="N417" s="1">
        <v>1.6859999999999999</v>
      </c>
      <c r="O417" s="1">
        <v>1105</v>
      </c>
      <c r="P417" s="1">
        <v>499.2</v>
      </c>
      <c r="Q417" s="1">
        <v>101.7</v>
      </c>
      <c r="R417" s="1">
        <v>17.88</v>
      </c>
      <c r="S417" s="1">
        <v>609.20000000000005</v>
      </c>
      <c r="T417" s="1">
        <v>54.03</v>
      </c>
      <c r="U417" s="1">
        <v>23.69</v>
      </c>
      <c r="V417" s="1">
        <v>260</v>
      </c>
    </row>
    <row r="418" spans="2:22">
      <c r="B418" s="1">
        <v>265</v>
      </c>
      <c r="C418" s="1">
        <v>5.0853000000000002</v>
      </c>
      <c r="D418" s="108">
        <f t="shared" si="18"/>
        <v>737.56174140000007</v>
      </c>
      <c r="E418" s="1">
        <v>775.7</v>
      </c>
      <c r="F418" s="1">
        <f t="shared" si="19"/>
        <v>25.806451612903228</v>
      </c>
      <c r="G418" s="1">
        <v>3.875E-2</v>
      </c>
      <c r="H418" s="1">
        <v>1159.96</v>
      </c>
      <c r="I418" s="1">
        <v>2793.49</v>
      </c>
      <c r="J418" s="1">
        <v>2.9306999999999999</v>
      </c>
      <c r="K418" s="1">
        <v>5.9661</v>
      </c>
      <c r="L418" s="1">
        <v>5.0510000000000002</v>
      </c>
      <c r="M418" s="1">
        <v>4.4749999999999996</v>
      </c>
      <c r="N418" s="1">
        <v>1.72</v>
      </c>
      <c r="O418" s="1">
        <v>1083</v>
      </c>
      <c r="P418" s="1">
        <v>497.7</v>
      </c>
      <c r="Q418" s="1">
        <v>99.6</v>
      </c>
      <c r="R418" s="1">
        <v>18.07</v>
      </c>
      <c r="S418" s="1">
        <v>602.79999999999995</v>
      </c>
      <c r="T418" s="1">
        <v>55.53</v>
      </c>
      <c r="U418" s="1">
        <v>22.51</v>
      </c>
      <c r="V418" s="1">
        <v>265</v>
      </c>
    </row>
    <row r="419" spans="2:22">
      <c r="B419" s="1">
        <v>270</v>
      </c>
      <c r="C419" s="1">
        <v>5.5030000000000001</v>
      </c>
      <c r="D419" s="108">
        <f t="shared" si="18"/>
        <v>798.14411400000006</v>
      </c>
      <c r="E419" s="1">
        <v>767.5</v>
      </c>
      <c r="F419" s="1">
        <f t="shared" si="19"/>
        <v>28.07411566535654</v>
      </c>
      <c r="G419" s="1">
        <v>3.5619999999999999E-2</v>
      </c>
      <c r="H419" s="1">
        <v>1185.27</v>
      </c>
      <c r="I419" s="1">
        <v>2789.69</v>
      </c>
      <c r="J419" s="1">
        <v>2.9765000000000001</v>
      </c>
      <c r="K419" s="1">
        <v>5.9303999999999997</v>
      </c>
      <c r="L419" s="1">
        <v>5.1230000000000002</v>
      </c>
      <c r="M419" s="1">
        <v>4.6559999999999997</v>
      </c>
      <c r="N419" s="1">
        <v>1.7569999999999999</v>
      </c>
      <c r="O419" s="1">
        <v>1060</v>
      </c>
      <c r="P419" s="1">
        <v>496</v>
      </c>
      <c r="Q419" s="1">
        <v>97.5</v>
      </c>
      <c r="R419" s="1">
        <v>18.28</v>
      </c>
      <c r="S419" s="1">
        <v>595.9</v>
      </c>
      <c r="T419" s="1">
        <v>57.11</v>
      </c>
      <c r="U419" s="1">
        <v>21.34</v>
      </c>
      <c r="V419" s="1">
        <v>270</v>
      </c>
    </row>
    <row r="420" spans="2:22">
      <c r="B420" s="1">
        <v>275</v>
      </c>
      <c r="C420" s="1">
        <v>5.9463999999999997</v>
      </c>
      <c r="D420" s="108">
        <f t="shared" si="18"/>
        <v>862.45396319999998</v>
      </c>
      <c r="E420" s="1">
        <v>759</v>
      </c>
      <c r="F420" s="1">
        <f t="shared" si="19"/>
        <v>30.515715593530668</v>
      </c>
      <c r="G420" s="1">
        <v>3.2770000000000001E-2</v>
      </c>
      <c r="H420" s="1">
        <v>1210.9000000000001</v>
      </c>
      <c r="I420" s="1">
        <v>2785.17</v>
      </c>
      <c r="J420" s="1">
        <v>3.0224000000000002</v>
      </c>
      <c r="K420" s="1">
        <v>5.8944000000000001</v>
      </c>
      <c r="L420" s="1">
        <v>5.202</v>
      </c>
      <c r="M420" s="1">
        <v>4.8550000000000004</v>
      </c>
      <c r="N420" s="1">
        <v>1.798</v>
      </c>
      <c r="O420" s="1">
        <v>1037</v>
      </c>
      <c r="P420" s="1">
        <v>494.1</v>
      </c>
      <c r="Q420" s="1">
        <v>95.5</v>
      </c>
      <c r="R420" s="1">
        <v>18.48</v>
      </c>
      <c r="S420" s="1">
        <v>588.70000000000005</v>
      </c>
      <c r="T420" s="1">
        <v>58.8</v>
      </c>
      <c r="U420" s="1">
        <v>20.16</v>
      </c>
      <c r="V420" s="1">
        <v>275</v>
      </c>
    </row>
    <row r="421" spans="2:22">
      <c r="B421" s="1">
        <v>280</v>
      </c>
      <c r="C421" s="1">
        <v>6.4165999999999999</v>
      </c>
      <c r="D421" s="108">
        <f t="shared" si="18"/>
        <v>930.65083079999999</v>
      </c>
      <c r="E421" s="1">
        <v>750.3</v>
      </c>
      <c r="F421" s="1">
        <f t="shared" si="19"/>
        <v>33.16749585406302</v>
      </c>
      <c r="G421" s="1">
        <v>3.015E-2</v>
      </c>
      <c r="H421" s="1">
        <v>1236.8800000000001</v>
      </c>
      <c r="I421" s="1">
        <v>2779.87</v>
      </c>
      <c r="J421" s="1">
        <v>3.0684999999999998</v>
      </c>
      <c r="K421" s="1">
        <v>5.8578999999999999</v>
      </c>
      <c r="L421" s="1">
        <v>5.2889999999999997</v>
      </c>
      <c r="M421" s="1">
        <v>5.0730000000000004</v>
      </c>
      <c r="N421" s="1">
        <v>1.845</v>
      </c>
      <c r="O421" s="1">
        <v>1013</v>
      </c>
      <c r="P421" s="1">
        <v>491.9</v>
      </c>
      <c r="Q421" s="1">
        <v>93.5</v>
      </c>
      <c r="R421" s="1">
        <v>18.7</v>
      </c>
      <c r="S421" s="1">
        <v>581.1</v>
      </c>
      <c r="T421" s="1">
        <v>60.61</v>
      </c>
      <c r="U421" s="1">
        <v>18.989999999999998</v>
      </c>
      <c r="V421" s="1">
        <v>280</v>
      </c>
    </row>
    <row r="422" spans="2:22">
      <c r="B422" s="1">
        <v>285</v>
      </c>
      <c r="C422" s="1">
        <v>6.9146999999999998</v>
      </c>
      <c r="D422" s="108">
        <f t="shared" si="18"/>
        <v>1002.8942586000001</v>
      </c>
      <c r="E422" s="1">
        <v>741.3</v>
      </c>
      <c r="F422" s="1">
        <f t="shared" si="19"/>
        <v>36.023054755043226</v>
      </c>
      <c r="G422" s="1">
        <v>2.776E-2</v>
      </c>
      <c r="H422" s="1">
        <v>1263.25</v>
      </c>
      <c r="I422" s="1">
        <v>2773.73</v>
      </c>
      <c r="J422" s="1">
        <v>3.1147</v>
      </c>
      <c r="K422" s="1">
        <v>5.8209</v>
      </c>
      <c r="L422" s="1">
        <v>5.3849999999999998</v>
      </c>
      <c r="M422" s="1">
        <v>5.3140000000000001</v>
      </c>
      <c r="N422" s="1">
        <v>1.8959999999999999</v>
      </c>
      <c r="O422" s="1">
        <v>988</v>
      </c>
      <c r="P422" s="1">
        <v>489.5</v>
      </c>
      <c r="Q422" s="1">
        <v>91.6</v>
      </c>
      <c r="R422" s="1">
        <v>18.920000000000002</v>
      </c>
      <c r="S422" s="1">
        <v>573.20000000000005</v>
      </c>
      <c r="T422" s="1">
        <v>62.57</v>
      </c>
      <c r="U422" s="1">
        <v>17.829999999999998</v>
      </c>
      <c r="V422" s="1">
        <v>285</v>
      </c>
    </row>
    <row r="423" spans="2:22">
      <c r="B423" s="1">
        <v>290</v>
      </c>
      <c r="C423" s="1">
        <v>7.4417999999999997</v>
      </c>
      <c r="D423" s="108">
        <f t="shared" si="18"/>
        <v>1079.3437884</v>
      </c>
      <c r="E423" s="1">
        <v>731.9</v>
      </c>
      <c r="F423" s="1">
        <f t="shared" si="19"/>
        <v>39.138943248532293</v>
      </c>
      <c r="G423" s="1">
        <v>2.555E-2</v>
      </c>
      <c r="H423" s="1">
        <v>1290.03</v>
      </c>
      <c r="I423" s="1">
        <v>2766.7</v>
      </c>
      <c r="J423" s="1">
        <v>3.1612</v>
      </c>
      <c r="K423" s="1">
        <v>5.7834000000000003</v>
      </c>
      <c r="L423" s="1">
        <v>5.4930000000000003</v>
      </c>
      <c r="M423" s="1">
        <v>5.5819999999999999</v>
      </c>
      <c r="N423" s="1">
        <v>1.954</v>
      </c>
      <c r="O423" s="1">
        <v>962</v>
      </c>
      <c r="P423" s="1">
        <v>486.9</v>
      </c>
      <c r="Q423" s="1">
        <v>89.7</v>
      </c>
      <c r="R423" s="1">
        <v>19.149999999999999</v>
      </c>
      <c r="S423" s="1">
        <v>565</v>
      </c>
      <c r="T423" s="1">
        <v>64.709999999999994</v>
      </c>
      <c r="U423" s="1">
        <v>16.66</v>
      </c>
      <c r="V423" s="1">
        <v>290</v>
      </c>
    </row>
    <row r="424" spans="2:22">
      <c r="B424" s="1">
        <v>295</v>
      </c>
      <c r="C424" s="1">
        <v>7.9991000000000003</v>
      </c>
      <c r="D424" s="108">
        <f t="shared" si="18"/>
        <v>1160.1734658</v>
      </c>
      <c r="E424" s="1">
        <v>722.2</v>
      </c>
      <c r="F424" s="1">
        <f t="shared" si="19"/>
        <v>42.498937526561839</v>
      </c>
      <c r="G424" s="1">
        <v>2.3529999999999999E-2</v>
      </c>
      <c r="H424" s="1">
        <v>1317.27</v>
      </c>
      <c r="I424" s="1">
        <v>2758.7</v>
      </c>
      <c r="J424" s="1">
        <v>3.2080000000000002</v>
      </c>
      <c r="K424" s="1">
        <v>5.7450999999999999</v>
      </c>
      <c r="L424" s="1">
        <v>5.6139999999999999</v>
      </c>
      <c r="M424" s="1">
        <v>5.8819999999999997</v>
      </c>
      <c r="N424" s="1">
        <v>2.0190000000000001</v>
      </c>
      <c r="O424" s="1">
        <v>936</v>
      </c>
      <c r="P424" s="1">
        <v>483.9</v>
      </c>
      <c r="Q424" s="1">
        <v>87.8</v>
      </c>
      <c r="R424" s="1">
        <v>19.399999999999999</v>
      </c>
      <c r="S424" s="1">
        <v>556.29999999999995</v>
      </c>
      <c r="T424" s="1">
        <v>67.05</v>
      </c>
      <c r="U424" s="1">
        <v>15.51</v>
      </c>
      <c r="V424" s="1">
        <v>295</v>
      </c>
    </row>
    <row r="425" spans="2:22">
      <c r="B425" s="1">
        <v>300</v>
      </c>
      <c r="C425" s="1">
        <v>8.5878999999999994</v>
      </c>
      <c r="D425" s="108">
        <f t="shared" si="18"/>
        <v>1245.5718402</v>
      </c>
      <c r="E425" s="1">
        <v>712.1</v>
      </c>
      <c r="F425" s="1">
        <f t="shared" si="19"/>
        <v>46.168051708217916</v>
      </c>
      <c r="G425" s="1">
        <v>2.1659999999999999E-2</v>
      </c>
      <c r="H425" s="1">
        <v>1345.01</v>
      </c>
      <c r="I425" s="1">
        <v>2749.64</v>
      </c>
      <c r="J425" s="1">
        <v>3.2551999999999999</v>
      </c>
      <c r="K425" s="1">
        <v>5.7058999999999997</v>
      </c>
      <c r="L425" s="1">
        <v>5.75</v>
      </c>
      <c r="M425" s="1">
        <v>6.22</v>
      </c>
      <c r="N425" s="1">
        <v>2.0939999999999999</v>
      </c>
      <c r="O425" s="1">
        <v>909</v>
      </c>
      <c r="P425" s="1">
        <v>480.7</v>
      </c>
      <c r="Q425" s="1">
        <v>85.9</v>
      </c>
      <c r="R425" s="1">
        <v>19.649999999999999</v>
      </c>
      <c r="S425" s="1">
        <v>547.4</v>
      </c>
      <c r="T425" s="1">
        <v>69.650000000000006</v>
      </c>
      <c r="U425" s="1">
        <v>14.36</v>
      </c>
      <c r="V425" s="1">
        <v>300</v>
      </c>
    </row>
    <row r="426" spans="2:22">
      <c r="B426" s="1">
        <v>310</v>
      </c>
      <c r="C426" s="1">
        <v>9.8651</v>
      </c>
      <c r="D426" s="108">
        <f t="shared" si="18"/>
        <v>1430.8143738000001</v>
      </c>
      <c r="E426" s="1">
        <v>690.7</v>
      </c>
      <c r="F426" s="1">
        <f t="shared" si="19"/>
        <v>54.555373704309879</v>
      </c>
      <c r="G426" s="1">
        <v>1.8329999999999999E-2</v>
      </c>
      <c r="H426" s="1">
        <v>1402.22</v>
      </c>
      <c r="I426" s="1">
        <v>2727.95</v>
      </c>
      <c r="J426" s="1">
        <v>3.351</v>
      </c>
      <c r="K426" s="1">
        <v>5.6243999999999996</v>
      </c>
      <c r="L426" s="1">
        <v>6.085</v>
      </c>
      <c r="M426" s="1">
        <v>7.0449999999999999</v>
      </c>
      <c r="N426" s="1">
        <v>2.2770000000000001</v>
      </c>
      <c r="O426" s="1">
        <v>853</v>
      </c>
      <c r="P426" s="1">
        <v>473.3</v>
      </c>
      <c r="Q426" s="1">
        <v>82.2</v>
      </c>
      <c r="R426" s="1">
        <v>20.21</v>
      </c>
      <c r="S426" s="1">
        <v>528.70000000000005</v>
      </c>
      <c r="T426" s="1">
        <v>75.84</v>
      </c>
      <c r="U426" s="1">
        <v>12.09</v>
      </c>
      <c r="V426" s="1">
        <v>310</v>
      </c>
    </row>
    <row r="427" spans="2:22">
      <c r="B427" s="1">
        <v>320</v>
      </c>
      <c r="C427" s="1">
        <v>11.2843</v>
      </c>
      <c r="D427" s="108">
        <f t="shared" si="18"/>
        <v>1636.6523034000002</v>
      </c>
      <c r="E427" s="1">
        <v>667.1</v>
      </c>
      <c r="F427" s="1">
        <f t="shared" si="19"/>
        <v>64.641241111829345</v>
      </c>
      <c r="G427" s="1">
        <v>1.5469999999999999E-2</v>
      </c>
      <c r="H427" s="1">
        <v>1462.22</v>
      </c>
      <c r="I427" s="1">
        <v>2700.59</v>
      </c>
      <c r="J427" s="1">
        <v>3.4493999999999998</v>
      </c>
      <c r="K427" s="1">
        <v>5.5372000000000003</v>
      </c>
      <c r="L427" s="1">
        <v>6.5369999999999999</v>
      </c>
      <c r="M427" s="1">
        <v>8.1590000000000007</v>
      </c>
      <c r="N427" s="1">
        <v>2.528</v>
      </c>
      <c r="O427" s="1">
        <v>793</v>
      </c>
      <c r="P427" s="1">
        <v>464.4</v>
      </c>
      <c r="Q427" s="1">
        <v>78.400000000000006</v>
      </c>
      <c r="R427" s="1">
        <v>20.85</v>
      </c>
      <c r="S427" s="1">
        <v>509.2</v>
      </c>
      <c r="T427" s="1">
        <v>83.91</v>
      </c>
      <c r="U427" s="1">
        <v>9.86</v>
      </c>
      <c r="V427" s="1">
        <v>320</v>
      </c>
    </row>
    <row r="428" spans="2:22">
      <c r="B428" s="1">
        <v>330</v>
      </c>
      <c r="C428" s="1">
        <v>12.8581</v>
      </c>
      <c r="D428" s="108">
        <f t="shared" si="18"/>
        <v>1864.9131078000003</v>
      </c>
      <c r="E428" s="1">
        <v>640.79999999999995</v>
      </c>
      <c r="F428" s="1">
        <f t="shared" si="19"/>
        <v>77.04160246533128</v>
      </c>
      <c r="G428" s="1">
        <v>1.298E-2</v>
      </c>
      <c r="H428" s="1">
        <v>1525.87</v>
      </c>
      <c r="I428" s="1">
        <v>2666.03</v>
      </c>
      <c r="J428" s="1">
        <v>3.5518000000000001</v>
      </c>
      <c r="K428" s="1">
        <v>5.4421999999999997</v>
      </c>
      <c r="L428" s="1">
        <v>7.1859999999999999</v>
      </c>
      <c r="M428" s="1">
        <v>9.7530000000000001</v>
      </c>
      <c r="N428" s="1">
        <v>2.8889999999999998</v>
      </c>
      <c r="O428" s="1">
        <v>729</v>
      </c>
      <c r="P428" s="1">
        <v>453.7</v>
      </c>
      <c r="Q428" s="1">
        <v>74.5</v>
      </c>
      <c r="R428" s="1">
        <v>21.61</v>
      </c>
      <c r="S428" s="1">
        <v>489.1</v>
      </c>
      <c r="T428" s="1">
        <v>94.94</v>
      </c>
      <c r="U428" s="1">
        <v>7.7</v>
      </c>
      <c r="V428" s="1">
        <v>330</v>
      </c>
    </row>
    <row r="429" spans="2:22">
      <c r="B429" s="1">
        <v>340</v>
      </c>
      <c r="C429" s="1">
        <v>14.6007</v>
      </c>
      <c r="D429" s="108">
        <f t="shared" si="18"/>
        <v>2117.6563266000003</v>
      </c>
      <c r="E429" s="1">
        <v>610.70000000000005</v>
      </c>
      <c r="F429" s="1">
        <f t="shared" si="19"/>
        <v>92.764378478664199</v>
      </c>
      <c r="G429" s="1">
        <v>1.078E-2</v>
      </c>
      <c r="H429" s="1">
        <v>1594.53</v>
      </c>
      <c r="I429" s="1">
        <v>2621.85</v>
      </c>
      <c r="J429" s="1">
        <v>3.6600999999999999</v>
      </c>
      <c r="K429" s="1">
        <v>5.3356000000000003</v>
      </c>
      <c r="L429" s="1">
        <v>8.2100000000000009</v>
      </c>
      <c r="M429" s="1">
        <v>12.24</v>
      </c>
      <c r="N429" s="1">
        <v>3.45</v>
      </c>
      <c r="O429" s="1">
        <v>658</v>
      </c>
      <c r="P429" s="1">
        <v>440.7</v>
      </c>
      <c r="Q429" s="1">
        <v>70.400000000000006</v>
      </c>
      <c r="R429" s="1">
        <v>22.55</v>
      </c>
      <c r="S429" s="1">
        <v>468.5</v>
      </c>
      <c r="T429" s="1">
        <v>110.91</v>
      </c>
      <c r="U429" s="1">
        <v>5.63</v>
      </c>
      <c r="V429" s="1">
        <v>340</v>
      </c>
    </row>
    <row r="430" spans="2:22">
      <c r="B430" s="1">
        <v>350</v>
      </c>
      <c r="C430" s="1">
        <v>16.529399999999999</v>
      </c>
      <c r="D430" s="108">
        <f t="shared" si="18"/>
        <v>2397.3911171999998</v>
      </c>
      <c r="E430" s="1">
        <v>574.70000000000005</v>
      </c>
      <c r="F430" s="1">
        <f t="shared" si="19"/>
        <v>113.63636363636363</v>
      </c>
      <c r="G430" s="1">
        <v>8.8000000000000005E-3</v>
      </c>
      <c r="H430" s="1">
        <v>1670.89</v>
      </c>
      <c r="I430" s="1">
        <v>2563.64</v>
      </c>
      <c r="J430" s="1">
        <v>3.7784</v>
      </c>
      <c r="K430" s="1">
        <v>5.2110000000000003</v>
      </c>
      <c r="L430" s="1">
        <v>10.119999999999999</v>
      </c>
      <c r="M430" s="1">
        <v>16.690000000000001</v>
      </c>
      <c r="N430" s="1">
        <v>4.46</v>
      </c>
      <c r="O430" s="1">
        <v>578</v>
      </c>
      <c r="P430" s="1">
        <v>424.4</v>
      </c>
      <c r="Q430" s="1">
        <v>65.900000000000006</v>
      </c>
      <c r="R430" s="1">
        <v>23.82</v>
      </c>
      <c r="S430" s="1">
        <v>447.4</v>
      </c>
      <c r="T430" s="1">
        <v>135.94999999999999</v>
      </c>
      <c r="U430" s="1">
        <v>3.67</v>
      </c>
      <c r="V430" s="1">
        <v>350</v>
      </c>
    </row>
    <row r="431" spans="2:22">
      <c r="B431" s="1">
        <v>360</v>
      </c>
      <c r="C431" s="1">
        <v>18.666</v>
      </c>
      <c r="D431" s="108">
        <f t="shared" si="18"/>
        <v>2707.2793080000001</v>
      </c>
      <c r="E431" s="1">
        <v>527.6</v>
      </c>
      <c r="F431" s="1">
        <f t="shared" si="19"/>
        <v>143.88489208633095</v>
      </c>
      <c r="G431" s="1">
        <v>6.9499999999999996E-3</v>
      </c>
      <c r="H431" s="1">
        <v>1761.66</v>
      </c>
      <c r="I431" s="1">
        <v>2481.4899999999998</v>
      </c>
      <c r="J431" s="1">
        <v>3.9167000000000001</v>
      </c>
      <c r="K431" s="1">
        <v>5.0536000000000003</v>
      </c>
      <c r="L431" s="1">
        <v>15</v>
      </c>
      <c r="M431" s="1">
        <v>27.36</v>
      </c>
      <c r="N431" s="1">
        <v>6.83</v>
      </c>
      <c r="O431" s="1">
        <v>480</v>
      </c>
      <c r="P431" s="1">
        <v>402.4</v>
      </c>
      <c r="Q431" s="1">
        <v>60.3</v>
      </c>
      <c r="R431" s="1">
        <v>25.72</v>
      </c>
      <c r="S431" s="1">
        <v>425.7</v>
      </c>
      <c r="T431" s="1">
        <v>181.51</v>
      </c>
      <c r="U431" s="1">
        <v>1.88</v>
      </c>
      <c r="V431" s="1">
        <v>360</v>
      </c>
    </row>
    <row r="432" spans="2:22">
      <c r="B432" s="1">
        <v>370</v>
      </c>
      <c r="C432" s="1">
        <v>21.043600000000001</v>
      </c>
      <c r="D432" s="108">
        <f t="shared" si="18"/>
        <v>3052.1216568000004</v>
      </c>
      <c r="E432" s="1">
        <v>451.4</v>
      </c>
      <c r="F432" s="1">
        <f t="shared" si="19"/>
        <v>202.02020202020199</v>
      </c>
      <c r="G432" s="1">
        <v>4.9500000000000004E-3</v>
      </c>
      <c r="H432" s="1">
        <v>1890.69</v>
      </c>
      <c r="I432" s="1">
        <v>2334.52</v>
      </c>
      <c r="J432" s="1">
        <v>4.1112000000000002</v>
      </c>
      <c r="K432" s="1">
        <v>4.8011999999999997</v>
      </c>
      <c r="L432" s="1">
        <v>45.16</v>
      </c>
      <c r="M432" s="1">
        <v>96.6</v>
      </c>
      <c r="N432" s="1">
        <v>21.15</v>
      </c>
      <c r="O432" s="1">
        <v>360</v>
      </c>
      <c r="P432" s="1">
        <v>362.8</v>
      </c>
      <c r="Q432" s="1">
        <v>52.1</v>
      </c>
      <c r="R432" s="1">
        <v>29.68</v>
      </c>
      <c r="S432" s="1">
        <v>425</v>
      </c>
      <c r="T432" s="1">
        <v>323.83999999999997</v>
      </c>
      <c r="U432" s="1">
        <v>0.39</v>
      </c>
      <c r="V432" s="1">
        <v>370</v>
      </c>
    </row>
    <row r="433" spans="1:22">
      <c r="B433" s="1" t="s">
        <v>431</v>
      </c>
      <c r="C433" s="1">
        <v>22.064</v>
      </c>
      <c r="D433" s="108">
        <f t="shared" si="18"/>
        <v>3200.1184320000002</v>
      </c>
      <c r="E433" s="1">
        <v>322</v>
      </c>
      <c r="F433" s="1">
        <f t="shared" si="19"/>
        <v>321.54340836012864</v>
      </c>
      <c r="G433" s="1">
        <v>3.1099999999999999E-3</v>
      </c>
      <c r="H433" s="1">
        <v>2084.2600000000002</v>
      </c>
      <c r="I433" s="1">
        <v>2084.2600000000002</v>
      </c>
      <c r="J433" s="1">
        <v>4.407</v>
      </c>
      <c r="K433" s="1">
        <v>4.407</v>
      </c>
      <c r="L433" s="1" t="s">
        <v>310</v>
      </c>
      <c r="M433" s="1" t="s">
        <v>310</v>
      </c>
      <c r="N433" s="1" t="s">
        <v>310</v>
      </c>
      <c r="O433" s="1">
        <v>0</v>
      </c>
      <c r="P433" s="1">
        <v>0</v>
      </c>
      <c r="Q433" s="1" t="s">
        <v>311</v>
      </c>
      <c r="R433" s="1" t="s">
        <v>311</v>
      </c>
      <c r="S433" s="1" t="s">
        <v>310</v>
      </c>
      <c r="T433" s="1" t="s">
        <v>310</v>
      </c>
      <c r="U433" s="1">
        <v>0</v>
      </c>
      <c r="V433" s="1">
        <v>373.95</v>
      </c>
    </row>
    <row r="434" spans="1:22">
      <c r="D434" s="108"/>
    </row>
    <row r="435" spans="1:22">
      <c r="D435" s="108"/>
    </row>
    <row r="436" spans="1:22">
      <c r="D436" s="108"/>
    </row>
    <row r="437" spans="1:22">
      <c r="D437" s="108"/>
    </row>
    <row r="438" spans="1:22">
      <c r="A438" t="s">
        <v>272</v>
      </c>
      <c r="D438" s="108"/>
    </row>
    <row r="439" spans="1:22">
      <c r="B439" s="1" t="s">
        <v>432</v>
      </c>
      <c r="C439" s="1">
        <v>0.51795999999999998</v>
      </c>
      <c r="D439" s="108">
        <f t="shared" si="18"/>
        <v>75.123882480000006</v>
      </c>
      <c r="E439" s="1">
        <v>1178.5</v>
      </c>
      <c r="F439" s="1">
        <f t="shared" si="19"/>
        <v>13.760836658868859</v>
      </c>
      <c r="G439" s="1">
        <v>7.2669999999999998E-2</v>
      </c>
      <c r="H439" s="1">
        <v>80.040000000000006</v>
      </c>
      <c r="I439" s="1">
        <v>430.42</v>
      </c>
      <c r="J439" s="1">
        <v>0.52129999999999999</v>
      </c>
      <c r="K439" s="1">
        <v>2.1389999999999998</v>
      </c>
      <c r="L439" s="1">
        <v>1.9530000000000001</v>
      </c>
      <c r="M439" s="1">
        <v>0.90900000000000003</v>
      </c>
      <c r="N439" s="1">
        <v>1.444</v>
      </c>
      <c r="O439" s="1">
        <v>976</v>
      </c>
      <c r="P439" s="1">
        <v>222.8</v>
      </c>
      <c r="Q439" s="1">
        <v>256.7</v>
      </c>
      <c r="R439" s="1">
        <v>10.95</v>
      </c>
      <c r="S439" s="1">
        <v>180.6</v>
      </c>
      <c r="T439" s="1">
        <v>11.01</v>
      </c>
      <c r="U439" s="1">
        <v>17.16</v>
      </c>
      <c r="V439" s="1" t="s">
        <v>433</v>
      </c>
    </row>
    <row r="440" spans="1:22">
      <c r="B440" s="1" t="s">
        <v>284</v>
      </c>
      <c r="C440" s="1">
        <v>0.68233999999999995</v>
      </c>
      <c r="D440" s="108">
        <f t="shared" si="18"/>
        <v>98.965228920000001</v>
      </c>
      <c r="E440" s="1">
        <v>1154.5999999999999</v>
      </c>
      <c r="F440" s="1">
        <f t="shared" si="19"/>
        <v>17.924359204158453</v>
      </c>
      <c r="G440" s="1">
        <v>5.5789999999999999E-2</v>
      </c>
      <c r="H440" s="1">
        <v>92.94</v>
      </c>
      <c r="I440" s="1">
        <v>432.68</v>
      </c>
      <c r="J440" s="1">
        <v>0.57940000000000003</v>
      </c>
      <c r="K440" s="1">
        <v>2.1017999999999999</v>
      </c>
      <c r="L440" s="1">
        <v>1.9710000000000001</v>
      </c>
      <c r="M440" s="1">
        <v>0.95199999999999996</v>
      </c>
      <c r="N440" s="1">
        <v>1.468</v>
      </c>
      <c r="O440" s="1">
        <v>928</v>
      </c>
      <c r="P440" s="1">
        <v>223.4</v>
      </c>
      <c r="Q440" s="1">
        <v>229.3</v>
      </c>
      <c r="R440" s="1">
        <v>11.31</v>
      </c>
      <c r="S440" s="1">
        <v>172.1</v>
      </c>
      <c r="T440" s="1">
        <v>11.58</v>
      </c>
      <c r="U440" s="1">
        <v>15.53</v>
      </c>
      <c r="V440" s="1" t="s">
        <v>284</v>
      </c>
    </row>
    <row r="441" spans="1:22">
      <c r="B441" s="1" t="s">
        <v>285</v>
      </c>
      <c r="C441" s="1">
        <v>0.73948999999999998</v>
      </c>
      <c r="D441" s="108">
        <f t="shared" si="18"/>
        <v>107.25415062</v>
      </c>
      <c r="E441" s="1">
        <v>1147.0999999999999</v>
      </c>
      <c r="F441" s="1">
        <f t="shared" si="19"/>
        <v>19.372336303758235</v>
      </c>
      <c r="G441" s="1">
        <v>5.1619999999999999E-2</v>
      </c>
      <c r="H441" s="1">
        <v>96.9</v>
      </c>
      <c r="I441" s="1">
        <v>433.29</v>
      </c>
      <c r="J441" s="1">
        <v>0.5968</v>
      </c>
      <c r="K441" s="1">
        <v>2.0909</v>
      </c>
      <c r="L441" s="1">
        <v>1.978</v>
      </c>
      <c r="M441" s="1">
        <v>0.96699999999999997</v>
      </c>
      <c r="N441" s="1">
        <v>1.4770000000000001</v>
      </c>
      <c r="O441" s="1">
        <v>914</v>
      </c>
      <c r="P441" s="1">
        <v>223.5</v>
      </c>
      <c r="Q441" s="1">
        <v>221.6</v>
      </c>
      <c r="R441" s="1">
        <v>11.42</v>
      </c>
      <c r="S441" s="1">
        <v>169.5</v>
      </c>
      <c r="T441" s="1">
        <v>11.76</v>
      </c>
      <c r="U441" s="1">
        <v>15.04</v>
      </c>
      <c r="V441" s="1" t="s">
        <v>285</v>
      </c>
    </row>
    <row r="442" spans="1:22">
      <c r="B442" s="1" t="s">
        <v>286</v>
      </c>
      <c r="C442" s="1">
        <v>0.80015000000000003</v>
      </c>
      <c r="D442" s="108">
        <f t="shared" si="18"/>
        <v>116.05215570000001</v>
      </c>
      <c r="E442" s="1">
        <v>1139.5999999999999</v>
      </c>
      <c r="F442" s="1">
        <f t="shared" si="19"/>
        <v>20.911752404851526</v>
      </c>
      <c r="G442" s="1">
        <v>4.7820000000000001E-2</v>
      </c>
      <c r="H442" s="1">
        <v>100.88</v>
      </c>
      <c r="I442" s="1">
        <v>433.86</v>
      </c>
      <c r="J442" s="1">
        <v>0.61419999999999997</v>
      </c>
      <c r="K442" s="1">
        <v>2.0800999999999998</v>
      </c>
      <c r="L442" s="1">
        <v>1.9850000000000001</v>
      </c>
      <c r="M442" s="1">
        <v>0.98199999999999998</v>
      </c>
      <c r="N442" s="1">
        <v>1.486</v>
      </c>
      <c r="O442" s="1">
        <v>900</v>
      </c>
      <c r="P442" s="1">
        <v>223.6</v>
      </c>
      <c r="Q442" s="1">
        <v>214.3</v>
      </c>
      <c r="R442" s="1">
        <v>11.53</v>
      </c>
      <c r="S442" s="1">
        <v>166.9</v>
      </c>
      <c r="T442" s="1">
        <v>11.95</v>
      </c>
      <c r="U442" s="1">
        <v>14.56</v>
      </c>
      <c r="V442" s="1" t="s">
        <v>286</v>
      </c>
    </row>
    <row r="443" spans="1:22">
      <c r="B443" s="1" t="s">
        <v>287</v>
      </c>
      <c r="C443" s="1">
        <v>0.86445000000000005</v>
      </c>
      <c r="D443" s="108">
        <f t="shared" si="18"/>
        <v>125.37809910000001</v>
      </c>
      <c r="E443" s="1">
        <v>1132</v>
      </c>
      <c r="F443" s="1">
        <f t="shared" si="19"/>
        <v>22.547914317925592</v>
      </c>
      <c r="G443" s="1">
        <v>4.4350000000000001E-2</v>
      </c>
      <c r="H443" s="1">
        <v>104.87</v>
      </c>
      <c r="I443" s="1">
        <v>434.39</v>
      </c>
      <c r="J443" s="1">
        <v>0.63139999999999996</v>
      </c>
      <c r="K443" s="1">
        <v>2.0693999999999999</v>
      </c>
      <c r="L443" s="1">
        <v>1.9930000000000001</v>
      </c>
      <c r="M443" s="1">
        <v>0.998</v>
      </c>
      <c r="N443" s="1">
        <v>1.496</v>
      </c>
      <c r="O443" s="1">
        <v>885</v>
      </c>
      <c r="P443" s="1">
        <v>223.6</v>
      </c>
      <c r="Q443" s="1">
        <v>207.2</v>
      </c>
      <c r="R443" s="1">
        <v>11.64</v>
      </c>
      <c r="S443" s="1">
        <v>164.4</v>
      </c>
      <c r="T443" s="1">
        <v>12.14</v>
      </c>
      <c r="U443" s="1">
        <v>14.07</v>
      </c>
      <c r="V443" s="1" t="s">
        <v>287</v>
      </c>
    </row>
    <row r="444" spans="1:22">
      <c r="B444" s="1" t="s">
        <v>288</v>
      </c>
      <c r="C444" s="1">
        <v>0.93252000000000002</v>
      </c>
      <c r="D444" s="108">
        <f t="shared" si="18"/>
        <v>135.25083576</v>
      </c>
      <c r="E444" s="1">
        <v>1124.2</v>
      </c>
      <c r="F444" s="1">
        <f t="shared" si="19"/>
        <v>24.283632831471586</v>
      </c>
      <c r="G444" s="1">
        <v>4.1180000000000001E-2</v>
      </c>
      <c r="H444" s="1">
        <v>108.88</v>
      </c>
      <c r="I444" s="1">
        <v>434.88</v>
      </c>
      <c r="J444" s="1">
        <v>0.64859999999999995</v>
      </c>
      <c r="K444" s="1">
        <v>2.0589</v>
      </c>
      <c r="L444" s="1">
        <v>2.0019999999999998</v>
      </c>
      <c r="M444" s="1">
        <v>1.0149999999999999</v>
      </c>
      <c r="N444" s="1">
        <v>1.5069999999999999</v>
      </c>
      <c r="O444" s="1">
        <v>871</v>
      </c>
      <c r="P444" s="1">
        <v>223.6</v>
      </c>
      <c r="Q444" s="1">
        <v>200.3</v>
      </c>
      <c r="R444" s="1">
        <v>11.75</v>
      </c>
      <c r="S444" s="1">
        <v>161.80000000000001</v>
      </c>
      <c r="T444" s="1">
        <v>12.34</v>
      </c>
      <c r="U444" s="1">
        <v>13.6</v>
      </c>
      <c r="V444" s="1" t="s">
        <v>288</v>
      </c>
    </row>
    <row r="445" spans="1:22">
      <c r="B445" s="1" t="s">
        <v>290</v>
      </c>
      <c r="C445" s="1">
        <v>1.0044999999999999</v>
      </c>
      <c r="D445" s="108">
        <f t="shared" si="18"/>
        <v>145.69067100000001</v>
      </c>
      <c r="E445" s="1">
        <v>1116.4000000000001</v>
      </c>
      <c r="F445" s="1">
        <f t="shared" si="19"/>
        <v>26.123301985370951</v>
      </c>
      <c r="G445" s="1">
        <v>3.8280000000000002E-2</v>
      </c>
      <c r="H445" s="1">
        <v>112.9</v>
      </c>
      <c r="I445" s="1">
        <v>435.32</v>
      </c>
      <c r="J445" s="1">
        <v>0.66559999999999997</v>
      </c>
      <c r="K445" s="1">
        <v>2.0485000000000002</v>
      </c>
      <c r="L445" s="1">
        <v>2.012</v>
      </c>
      <c r="M445" s="1">
        <v>1.0329999999999999</v>
      </c>
      <c r="N445" s="1">
        <v>1.518</v>
      </c>
      <c r="O445" s="1">
        <v>856</v>
      </c>
      <c r="P445" s="1">
        <v>223.5</v>
      </c>
      <c r="Q445" s="1">
        <v>193.8</v>
      </c>
      <c r="R445" s="1">
        <v>11.87</v>
      </c>
      <c r="S445" s="1">
        <v>159.30000000000001</v>
      </c>
      <c r="T445" s="1">
        <v>12.54</v>
      </c>
      <c r="U445" s="1">
        <v>13.12</v>
      </c>
      <c r="V445" s="1" t="s">
        <v>290</v>
      </c>
    </row>
    <row r="446" spans="1:22">
      <c r="B446" s="1" t="s">
        <v>291</v>
      </c>
      <c r="C446" s="1">
        <v>1.0805</v>
      </c>
      <c r="D446" s="108">
        <f t="shared" si="18"/>
        <v>156.713559</v>
      </c>
      <c r="E446" s="1">
        <v>1108.5</v>
      </c>
      <c r="F446" s="1">
        <f t="shared" si="19"/>
        <v>28.07411566535654</v>
      </c>
      <c r="G446" s="1">
        <v>3.5619999999999999E-2</v>
      </c>
      <c r="H446" s="1">
        <v>116.95</v>
      </c>
      <c r="I446" s="1">
        <v>435.72</v>
      </c>
      <c r="J446" s="1">
        <v>0.68259999999999998</v>
      </c>
      <c r="K446" s="1">
        <v>2.0381999999999998</v>
      </c>
      <c r="L446" s="1">
        <v>2.0219999999999998</v>
      </c>
      <c r="M446" s="1">
        <v>1.052</v>
      </c>
      <c r="N446" s="1">
        <v>1.53</v>
      </c>
      <c r="O446" s="1">
        <v>842</v>
      </c>
      <c r="P446" s="1">
        <v>223.4</v>
      </c>
      <c r="Q446" s="1">
        <v>187.4</v>
      </c>
      <c r="R446" s="1">
        <v>11.98</v>
      </c>
      <c r="S446" s="1">
        <v>156.80000000000001</v>
      </c>
      <c r="T446" s="1">
        <v>12.75</v>
      </c>
      <c r="U446" s="1">
        <v>12.65</v>
      </c>
      <c r="V446" s="1" t="s">
        <v>291</v>
      </c>
    </row>
    <row r="447" spans="1:22">
      <c r="B447" s="1" t="s">
        <v>292</v>
      </c>
      <c r="C447" s="1">
        <v>1.1607000000000001</v>
      </c>
      <c r="D447" s="108">
        <f t="shared" si="18"/>
        <v>168.34560660000002</v>
      </c>
      <c r="E447" s="1">
        <v>1100.5</v>
      </c>
      <c r="F447" s="1">
        <f t="shared" si="19"/>
        <v>30.138637733574441</v>
      </c>
      <c r="G447" s="1">
        <v>3.3180000000000001E-2</v>
      </c>
      <c r="H447" s="1">
        <v>121.01</v>
      </c>
      <c r="I447" s="1">
        <v>436.07</v>
      </c>
      <c r="J447" s="1">
        <v>0.69950000000000001</v>
      </c>
      <c r="K447" s="1">
        <v>2.0280999999999998</v>
      </c>
      <c r="L447" s="1">
        <v>2.0329999999999999</v>
      </c>
      <c r="M447" s="1">
        <v>1.0720000000000001</v>
      </c>
      <c r="N447" s="1">
        <v>1.544</v>
      </c>
      <c r="O447" s="1">
        <v>827</v>
      </c>
      <c r="P447" s="1">
        <v>223.2</v>
      </c>
      <c r="Q447" s="1">
        <v>181.3</v>
      </c>
      <c r="R447" s="1">
        <v>12.1</v>
      </c>
      <c r="S447" s="1">
        <v>154.30000000000001</v>
      </c>
      <c r="T447" s="1">
        <v>12.97</v>
      </c>
      <c r="U447" s="1">
        <v>12.18</v>
      </c>
      <c r="V447" s="1" t="s">
        <v>292</v>
      </c>
    </row>
    <row r="448" spans="1:22">
      <c r="B448" s="1" t="s">
        <v>293</v>
      </c>
      <c r="C448" s="1">
        <v>1.2452000000000001</v>
      </c>
      <c r="D448" s="108">
        <f t="shared" si="18"/>
        <v>180.60131760000002</v>
      </c>
      <c r="E448" s="1">
        <v>1092.4000000000001</v>
      </c>
      <c r="F448" s="1">
        <f t="shared" si="19"/>
        <v>32.331070158422243</v>
      </c>
      <c r="G448" s="1">
        <v>3.0929999999999999E-2</v>
      </c>
      <c r="H448" s="1">
        <v>125.1</v>
      </c>
      <c r="I448" s="1">
        <v>436.37</v>
      </c>
      <c r="J448" s="1">
        <v>0.71630000000000005</v>
      </c>
      <c r="K448" s="1">
        <v>2.0179999999999998</v>
      </c>
      <c r="L448" s="1">
        <v>2.0449999999999999</v>
      </c>
      <c r="M448" s="1">
        <v>1.0940000000000001</v>
      </c>
      <c r="N448" s="1">
        <v>1.5580000000000001</v>
      </c>
      <c r="O448" s="1">
        <v>813</v>
      </c>
      <c r="P448" s="1">
        <v>223.1</v>
      </c>
      <c r="Q448" s="1">
        <v>175.4</v>
      </c>
      <c r="R448" s="1">
        <v>12.22</v>
      </c>
      <c r="S448" s="1">
        <v>151.80000000000001</v>
      </c>
      <c r="T448" s="1">
        <v>13.2</v>
      </c>
      <c r="U448" s="1">
        <v>11.72</v>
      </c>
      <c r="V448" s="1" t="s">
        <v>293</v>
      </c>
    </row>
    <row r="449" spans="2:22">
      <c r="B449" s="1" t="s">
        <v>294</v>
      </c>
      <c r="C449" s="1">
        <v>1.3342000000000001</v>
      </c>
      <c r="D449" s="108">
        <f t="shared" si="18"/>
        <v>193.50969960000003</v>
      </c>
      <c r="E449" s="1">
        <v>1084.0999999999999</v>
      </c>
      <c r="F449" s="1">
        <f t="shared" si="19"/>
        <v>34.650034650034648</v>
      </c>
      <c r="G449" s="1">
        <v>2.886E-2</v>
      </c>
      <c r="H449" s="1">
        <v>129.19999999999999</v>
      </c>
      <c r="I449" s="1">
        <v>436.62</v>
      </c>
      <c r="J449" s="1">
        <v>0.73309999999999997</v>
      </c>
      <c r="K449" s="1">
        <v>2.0078999999999998</v>
      </c>
      <c r="L449" s="1">
        <v>2.0590000000000002</v>
      </c>
      <c r="M449" s="1">
        <v>1.1160000000000001</v>
      </c>
      <c r="N449" s="1">
        <v>1.573</v>
      </c>
      <c r="O449" s="1">
        <v>798</v>
      </c>
      <c r="P449" s="1">
        <v>222.8</v>
      </c>
      <c r="Q449" s="1">
        <v>169.7</v>
      </c>
      <c r="R449" s="1">
        <v>12.34</v>
      </c>
      <c r="S449" s="1">
        <v>149.30000000000001</v>
      </c>
      <c r="T449" s="1">
        <v>13.43</v>
      </c>
      <c r="U449" s="1">
        <v>11.26</v>
      </c>
      <c r="V449" s="1" t="s">
        <v>294</v>
      </c>
    </row>
    <row r="450" spans="2:22">
      <c r="B450" s="1" t="s">
        <v>295</v>
      </c>
      <c r="C450" s="1">
        <v>1.4278</v>
      </c>
      <c r="D450" s="108">
        <f t="shared" si="18"/>
        <v>207.08525640000002</v>
      </c>
      <c r="E450" s="1">
        <v>1075.7</v>
      </c>
      <c r="F450" s="1">
        <f t="shared" si="19"/>
        <v>37.091988130563799</v>
      </c>
      <c r="G450" s="1">
        <v>2.6960000000000001E-2</v>
      </c>
      <c r="H450" s="1">
        <v>133.34</v>
      </c>
      <c r="I450" s="1">
        <v>436.82</v>
      </c>
      <c r="J450" s="1">
        <v>0.74980000000000002</v>
      </c>
      <c r="K450" s="1">
        <v>1.998</v>
      </c>
      <c r="L450" s="1">
        <v>2.073</v>
      </c>
      <c r="M450" s="1">
        <v>1.141</v>
      </c>
      <c r="N450" s="1">
        <v>1.59</v>
      </c>
      <c r="O450" s="1">
        <v>783</v>
      </c>
      <c r="P450" s="1">
        <v>222.5</v>
      </c>
      <c r="Q450" s="1">
        <v>164.2</v>
      </c>
      <c r="R450" s="1">
        <v>12.46</v>
      </c>
      <c r="S450" s="1">
        <v>146.9</v>
      </c>
      <c r="T450" s="1">
        <v>13.68</v>
      </c>
      <c r="U450" s="1">
        <v>10.8</v>
      </c>
      <c r="V450" s="1" t="s">
        <v>295</v>
      </c>
    </row>
    <row r="451" spans="2:22">
      <c r="B451" s="1" t="s">
        <v>296</v>
      </c>
      <c r="C451" s="1">
        <v>1.5261</v>
      </c>
      <c r="D451" s="108">
        <f t="shared" si="18"/>
        <v>221.3424918</v>
      </c>
      <c r="E451" s="1">
        <v>1067.2</v>
      </c>
      <c r="F451" s="1">
        <f t="shared" si="19"/>
        <v>39.69829297340214</v>
      </c>
      <c r="G451" s="1">
        <v>2.5190000000000001E-2</v>
      </c>
      <c r="H451" s="1">
        <v>137.5</v>
      </c>
      <c r="I451" s="1">
        <v>436.96</v>
      </c>
      <c r="J451" s="1">
        <v>0.76649999999999996</v>
      </c>
      <c r="K451" s="1">
        <v>1.988</v>
      </c>
      <c r="L451" s="1">
        <v>2.089</v>
      </c>
      <c r="M451" s="1">
        <v>1.1659999999999999</v>
      </c>
      <c r="N451" s="1">
        <v>1.6080000000000001</v>
      </c>
      <c r="O451" s="1">
        <v>768</v>
      </c>
      <c r="P451" s="1">
        <v>222.2</v>
      </c>
      <c r="Q451" s="1">
        <v>158.9</v>
      </c>
      <c r="R451" s="1">
        <v>12.59</v>
      </c>
      <c r="S451" s="1">
        <v>144.4</v>
      </c>
      <c r="T451" s="1">
        <v>13.94</v>
      </c>
      <c r="U451" s="1">
        <v>10.35</v>
      </c>
      <c r="V451" s="1" t="s">
        <v>296</v>
      </c>
    </row>
    <row r="452" spans="2:22">
      <c r="B452" s="1" t="s">
        <v>297</v>
      </c>
      <c r="C452" s="1">
        <v>1.6293</v>
      </c>
      <c r="D452" s="108">
        <f t="shared" si="18"/>
        <v>236.31041340000002</v>
      </c>
      <c r="E452" s="1">
        <v>1058.5999999999999</v>
      </c>
      <c r="F452" s="1">
        <f t="shared" si="19"/>
        <v>42.444821731748725</v>
      </c>
      <c r="G452" s="1">
        <v>2.3560000000000001E-2</v>
      </c>
      <c r="H452" s="1">
        <v>141.69</v>
      </c>
      <c r="I452" s="1">
        <v>437.04</v>
      </c>
      <c r="J452" s="1">
        <v>0.78310000000000002</v>
      </c>
      <c r="K452" s="1">
        <v>1.9781</v>
      </c>
      <c r="L452" s="1">
        <v>2.105</v>
      </c>
      <c r="M452" s="1">
        <v>1.194</v>
      </c>
      <c r="N452" s="1">
        <v>1.627</v>
      </c>
      <c r="O452" s="1">
        <v>753</v>
      </c>
      <c r="P452" s="1">
        <v>221.8</v>
      </c>
      <c r="Q452" s="1">
        <v>153.80000000000001</v>
      </c>
      <c r="R452" s="1">
        <v>12.72</v>
      </c>
      <c r="S452" s="1">
        <v>141.9</v>
      </c>
      <c r="T452" s="1">
        <v>14.2</v>
      </c>
      <c r="U452" s="1">
        <v>9.9</v>
      </c>
      <c r="V452" s="1" t="s">
        <v>297</v>
      </c>
    </row>
    <row r="453" spans="2:22">
      <c r="B453" s="1" t="s">
        <v>298</v>
      </c>
      <c r="C453" s="1">
        <v>1.7375</v>
      </c>
      <c r="D453" s="108">
        <f t="shared" si="18"/>
        <v>252.00352500000002</v>
      </c>
      <c r="E453" s="1">
        <v>1049.8</v>
      </c>
      <c r="F453" s="1">
        <f t="shared" si="19"/>
        <v>45.351473922902493</v>
      </c>
      <c r="G453" s="1">
        <v>2.205E-2</v>
      </c>
      <c r="H453" s="1">
        <v>145.91</v>
      </c>
      <c r="I453" s="1">
        <v>437.06</v>
      </c>
      <c r="J453" s="1">
        <v>0.79969999999999997</v>
      </c>
      <c r="K453" s="1">
        <v>1.9682999999999999</v>
      </c>
      <c r="L453" s="1">
        <v>2.1240000000000001</v>
      </c>
      <c r="M453" s="1">
        <v>1.2230000000000001</v>
      </c>
      <c r="N453" s="1">
        <v>1.6479999999999999</v>
      </c>
      <c r="O453" s="1">
        <v>738</v>
      </c>
      <c r="P453" s="1">
        <v>221.4</v>
      </c>
      <c r="Q453" s="1">
        <v>148.80000000000001</v>
      </c>
      <c r="R453" s="1">
        <v>12.85</v>
      </c>
      <c r="S453" s="1">
        <v>139.5</v>
      </c>
      <c r="T453" s="1">
        <v>14.49</v>
      </c>
      <c r="U453" s="1">
        <v>9.4600000000000009</v>
      </c>
      <c r="V453" s="1" t="s">
        <v>298</v>
      </c>
    </row>
    <row r="454" spans="2:22">
      <c r="B454" s="1" t="s">
        <v>299</v>
      </c>
      <c r="C454" s="1">
        <v>1.8509</v>
      </c>
      <c r="D454" s="108">
        <f t="shared" si="18"/>
        <v>268.45083420000003</v>
      </c>
      <c r="E454" s="1">
        <v>1040.8</v>
      </c>
      <c r="F454" s="1">
        <f t="shared" si="19"/>
        <v>48.426150121065369</v>
      </c>
      <c r="G454" s="1">
        <v>2.0650000000000002E-2</v>
      </c>
      <c r="H454" s="1">
        <v>150.16</v>
      </c>
      <c r="I454" s="1">
        <v>437.01</v>
      </c>
      <c r="J454" s="1">
        <v>0.81630000000000003</v>
      </c>
      <c r="K454" s="1">
        <v>1.9583999999999999</v>
      </c>
      <c r="L454" s="1">
        <v>2.1440000000000001</v>
      </c>
      <c r="M454" s="1">
        <v>1.2549999999999999</v>
      </c>
      <c r="N454" s="1">
        <v>1.671</v>
      </c>
      <c r="O454" s="1">
        <v>723</v>
      </c>
      <c r="P454" s="1">
        <v>220.9</v>
      </c>
      <c r="Q454" s="1">
        <v>144</v>
      </c>
      <c r="R454" s="1">
        <v>12.98</v>
      </c>
      <c r="S454" s="1">
        <v>137.1</v>
      </c>
      <c r="T454" s="1">
        <v>14.78</v>
      </c>
      <c r="U454" s="1">
        <v>9.02</v>
      </c>
      <c r="V454" s="1" t="s">
        <v>299</v>
      </c>
    </row>
    <row r="455" spans="2:22">
      <c r="B455" s="1" t="s">
        <v>300</v>
      </c>
      <c r="C455" s="1">
        <v>1.9696</v>
      </c>
      <c r="D455" s="108">
        <f t="shared" si="18"/>
        <v>285.66684480000004</v>
      </c>
      <c r="E455" s="1">
        <v>1031.7</v>
      </c>
      <c r="F455" s="1">
        <f t="shared" si="19"/>
        <v>51.706308169596689</v>
      </c>
      <c r="G455" s="1">
        <v>1.934E-2</v>
      </c>
      <c r="H455" s="1">
        <v>154.44999999999999</v>
      </c>
      <c r="I455" s="1">
        <v>436.89</v>
      </c>
      <c r="J455" s="1">
        <v>0.83279999999999998</v>
      </c>
      <c r="K455" s="1">
        <v>1.9484999999999999</v>
      </c>
      <c r="L455" s="1">
        <v>2.165</v>
      </c>
      <c r="M455" s="1">
        <v>1.2889999999999999</v>
      </c>
      <c r="N455" s="1">
        <v>1.696</v>
      </c>
      <c r="O455" s="1">
        <v>708</v>
      </c>
      <c r="P455" s="1">
        <v>220.4</v>
      </c>
      <c r="Q455" s="1">
        <v>139.30000000000001</v>
      </c>
      <c r="R455" s="1">
        <v>13.12</v>
      </c>
      <c r="S455" s="1">
        <v>134.6</v>
      </c>
      <c r="T455" s="1">
        <v>15.09</v>
      </c>
      <c r="U455" s="1">
        <v>8.59</v>
      </c>
      <c r="V455" s="1" t="s">
        <v>300</v>
      </c>
    </row>
    <row r="456" spans="2:22">
      <c r="B456" s="1" t="s">
        <v>434</v>
      </c>
      <c r="C456" s="1">
        <v>2.0310000000000001</v>
      </c>
      <c r="D456" s="108">
        <f t="shared" si="18"/>
        <v>294.57217800000006</v>
      </c>
      <c r="E456" s="1">
        <v>1027</v>
      </c>
      <c r="F456" s="1">
        <f t="shared" si="19"/>
        <v>53.390282968499733</v>
      </c>
      <c r="G456" s="1">
        <v>1.873E-2</v>
      </c>
      <c r="H456" s="1">
        <v>156.61000000000001</v>
      </c>
      <c r="I456" s="1">
        <v>436.81</v>
      </c>
      <c r="J456" s="1">
        <v>0.84109999999999996</v>
      </c>
      <c r="K456" s="1">
        <v>1.9436</v>
      </c>
      <c r="L456" s="1">
        <v>2.177</v>
      </c>
      <c r="M456" s="1">
        <v>1.3069999999999999</v>
      </c>
      <c r="N456" s="1">
        <v>1.7090000000000001</v>
      </c>
      <c r="O456" s="1">
        <v>700</v>
      </c>
      <c r="P456" s="1">
        <v>220.1</v>
      </c>
      <c r="Q456" s="1">
        <v>137.1</v>
      </c>
      <c r="R456" s="1">
        <v>13.18</v>
      </c>
      <c r="S456" s="1">
        <v>133.4</v>
      </c>
      <c r="T456" s="1">
        <v>15.25</v>
      </c>
      <c r="U456" s="1">
        <v>8.3699999999999992</v>
      </c>
      <c r="V456" s="1" t="s">
        <v>434</v>
      </c>
    </row>
    <row r="457" spans="2:22">
      <c r="B457" s="1" t="s">
        <v>301</v>
      </c>
      <c r="C457" s="1">
        <v>2.0937999999999999</v>
      </c>
      <c r="D457" s="108">
        <f t="shared" ref="D457:D520" si="20">C457*145.038</f>
        <v>303.68056439999998</v>
      </c>
      <c r="E457" s="1">
        <v>1022.3</v>
      </c>
      <c r="F457" s="1">
        <f t="shared" ref="F457:F520" si="21">1/G457</f>
        <v>55.157198014340871</v>
      </c>
      <c r="G457" s="1">
        <v>1.813E-2</v>
      </c>
      <c r="H457" s="1">
        <v>158.77000000000001</v>
      </c>
      <c r="I457" s="1">
        <v>436.7</v>
      </c>
      <c r="J457" s="1">
        <v>0.84940000000000004</v>
      </c>
      <c r="K457" s="1">
        <v>1.9386000000000001</v>
      </c>
      <c r="L457" s="1">
        <v>2.1890000000000001</v>
      </c>
      <c r="M457" s="1">
        <v>1.3260000000000001</v>
      </c>
      <c r="N457" s="1">
        <v>1.7230000000000001</v>
      </c>
      <c r="O457" s="1">
        <v>692</v>
      </c>
      <c r="P457" s="1">
        <v>219.8</v>
      </c>
      <c r="Q457" s="1">
        <v>134.80000000000001</v>
      </c>
      <c r="R457" s="1">
        <v>13.26</v>
      </c>
      <c r="S457" s="1">
        <v>132.19999999999999</v>
      </c>
      <c r="T457" s="1">
        <v>15.42</v>
      </c>
      <c r="U457" s="1">
        <v>8.16</v>
      </c>
      <c r="V457" s="1" t="s">
        <v>301</v>
      </c>
    </row>
    <row r="458" spans="2:22">
      <c r="B458" s="1" t="s">
        <v>435</v>
      </c>
      <c r="C458" s="1">
        <v>2.1581000000000001</v>
      </c>
      <c r="D458" s="108">
        <f t="shared" si="20"/>
        <v>313.00650780000007</v>
      </c>
      <c r="E458" s="1">
        <v>1017.6</v>
      </c>
      <c r="F458" s="1">
        <f t="shared" si="21"/>
        <v>56.947608200455583</v>
      </c>
      <c r="G458" s="1">
        <v>1.7559999999999999E-2</v>
      </c>
      <c r="H458" s="1">
        <v>160.94999999999999</v>
      </c>
      <c r="I458" s="1">
        <v>436.58</v>
      </c>
      <c r="J458" s="1">
        <v>0.85760000000000003</v>
      </c>
      <c r="K458" s="1">
        <v>1.9337</v>
      </c>
      <c r="L458" s="1">
        <v>2.2010000000000001</v>
      </c>
      <c r="M458" s="1">
        <v>1.3460000000000001</v>
      </c>
      <c r="N458" s="1">
        <v>1.738</v>
      </c>
      <c r="O458" s="1">
        <v>684</v>
      </c>
      <c r="P458" s="1">
        <v>219.5</v>
      </c>
      <c r="Q458" s="1">
        <v>132.6</v>
      </c>
      <c r="R458" s="1">
        <v>13.33</v>
      </c>
      <c r="S458" s="1">
        <v>131</v>
      </c>
      <c r="T458" s="1">
        <v>15.59</v>
      </c>
      <c r="U458" s="1">
        <v>7.95</v>
      </c>
      <c r="V458" s="1" t="s">
        <v>435</v>
      </c>
    </row>
    <row r="459" spans="2:22">
      <c r="B459" s="1" t="s">
        <v>302</v>
      </c>
      <c r="C459" s="1">
        <v>2.2237</v>
      </c>
      <c r="D459" s="108">
        <f t="shared" si="20"/>
        <v>322.52100060000004</v>
      </c>
      <c r="E459" s="1">
        <v>1012.8</v>
      </c>
      <c r="F459" s="1">
        <f t="shared" si="21"/>
        <v>58.823529411764703</v>
      </c>
      <c r="G459" s="1">
        <v>1.7000000000000001E-2</v>
      </c>
      <c r="H459" s="1">
        <v>163.13999999999999</v>
      </c>
      <c r="I459" s="1">
        <v>436.44</v>
      </c>
      <c r="J459" s="1">
        <v>0.8659</v>
      </c>
      <c r="K459" s="1">
        <v>1.9287000000000001</v>
      </c>
      <c r="L459" s="1">
        <v>2.2149999999999999</v>
      </c>
      <c r="M459" s="1">
        <v>1.3660000000000001</v>
      </c>
      <c r="N459" s="1">
        <v>1.7529999999999999</v>
      </c>
      <c r="O459" s="1">
        <v>676</v>
      </c>
      <c r="P459" s="1">
        <v>219.2</v>
      </c>
      <c r="Q459" s="1">
        <v>130.4</v>
      </c>
      <c r="R459" s="1">
        <v>13.4</v>
      </c>
      <c r="S459" s="1">
        <v>129.80000000000001</v>
      </c>
      <c r="T459" s="1">
        <v>15.77</v>
      </c>
      <c r="U459" s="1">
        <v>7.74</v>
      </c>
      <c r="V459" s="1" t="s">
        <v>302</v>
      </c>
    </row>
    <row r="460" spans="2:22">
      <c r="B460" s="1" t="s">
        <v>436</v>
      </c>
      <c r="C460" s="1">
        <v>2.2907999999999999</v>
      </c>
      <c r="D460" s="108">
        <f t="shared" si="20"/>
        <v>332.25305040000001</v>
      </c>
      <c r="E460" s="1">
        <v>1008</v>
      </c>
      <c r="F460" s="1">
        <f t="shared" si="21"/>
        <v>60.716454159077117</v>
      </c>
      <c r="G460" s="1">
        <v>1.6469999999999999E-2</v>
      </c>
      <c r="H460" s="1">
        <v>165.34</v>
      </c>
      <c r="I460" s="1">
        <v>436.27</v>
      </c>
      <c r="J460" s="1">
        <v>0.87419999999999998</v>
      </c>
      <c r="K460" s="1">
        <v>1.9237</v>
      </c>
      <c r="L460" s="1">
        <v>2.2280000000000002</v>
      </c>
      <c r="M460" s="1">
        <v>1.3879999999999999</v>
      </c>
      <c r="N460" s="1">
        <v>1.768</v>
      </c>
      <c r="O460" s="1">
        <v>668</v>
      </c>
      <c r="P460" s="1">
        <v>218.8</v>
      </c>
      <c r="Q460" s="1">
        <v>128.30000000000001</v>
      </c>
      <c r="R460" s="1">
        <v>13.47</v>
      </c>
      <c r="S460" s="1">
        <v>128.6</v>
      </c>
      <c r="T460" s="1">
        <v>15.95</v>
      </c>
      <c r="U460" s="1">
        <v>7.53</v>
      </c>
      <c r="V460" s="1" t="s">
        <v>436</v>
      </c>
    </row>
    <row r="461" spans="2:22">
      <c r="B461" s="1" t="s">
        <v>303</v>
      </c>
      <c r="C461" s="1">
        <v>2.3593000000000002</v>
      </c>
      <c r="D461" s="108">
        <f t="shared" si="20"/>
        <v>342.18815340000003</v>
      </c>
      <c r="E461" s="1">
        <v>1003.1</v>
      </c>
      <c r="F461" s="1">
        <f t="shared" si="21"/>
        <v>62.695924764890286</v>
      </c>
      <c r="G461" s="1">
        <v>1.5949999999999999E-2</v>
      </c>
      <c r="H461" s="1">
        <v>167.55</v>
      </c>
      <c r="I461" s="1">
        <v>436.09</v>
      </c>
      <c r="J461" s="1">
        <v>0.88249999999999995</v>
      </c>
      <c r="K461" s="1">
        <v>1.9187000000000001</v>
      </c>
      <c r="L461" s="1">
        <v>2.2429999999999999</v>
      </c>
      <c r="M461" s="1">
        <v>1.41</v>
      </c>
      <c r="N461" s="1">
        <v>1.7849999999999999</v>
      </c>
      <c r="O461" s="1">
        <v>660</v>
      </c>
      <c r="P461" s="1">
        <v>218.5</v>
      </c>
      <c r="Q461" s="1">
        <v>126.2</v>
      </c>
      <c r="R461" s="1">
        <v>13.55</v>
      </c>
      <c r="S461" s="1">
        <v>127.4</v>
      </c>
      <c r="T461" s="1">
        <v>16.14</v>
      </c>
      <c r="U461" s="1">
        <v>7.32</v>
      </c>
      <c r="V461" s="1" t="s">
        <v>303</v>
      </c>
    </row>
    <row r="462" spans="2:22">
      <c r="B462" s="1" t="s">
        <v>437</v>
      </c>
      <c r="C462" s="1">
        <v>2.4293999999999998</v>
      </c>
      <c r="D462" s="108">
        <f t="shared" si="20"/>
        <v>352.3553172</v>
      </c>
      <c r="E462" s="1">
        <v>998.1</v>
      </c>
      <c r="F462" s="1">
        <f t="shared" si="21"/>
        <v>64.724919093851128</v>
      </c>
      <c r="G462" s="1">
        <v>1.545E-2</v>
      </c>
      <c r="H462" s="1">
        <v>169.78</v>
      </c>
      <c r="I462" s="1">
        <v>435.89</v>
      </c>
      <c r="J462" s="1">
        <v>0.89080000000000004</v>
      </c>
      <c r="K462" s="1">
        <v>1.9137</v>
      </c>
      <c r="L462" s="1">
        <v>2.258</v>
      </c>
      <c r="M462" s="1">
        <v>1.4330000000000001</v>
      </c>
      <c r="N462" s="1">
        <v>1.802</v>
      </c>
      <c r="O462" s="1">
        <v>651</v>
      </c>
      <c r="P462" s="1">
        <v>218.1</v>
      </c>
      <c r="Q462" s="1">
        <v>124.1</v>
      </c>
      <c r="R462" s="1">
        <v>13.63</v>
      </c>
      <c r="S462" s="1">
        <v>126.2</v>
      </c>
      <c r="T462" s="1">
        <v>16.34</v>
      </c>
      <c r="U462" s="1">
        <v>7.11</v>
      </c>
      <c r="V462" s="1" t="s">
        <v>437</v>
      </c>
    </row>
    <row r="463" spans="2:22">
      <c r="B463" s="1" t="s">
        <v>304</v>
      </c>
      <c r="C463" s="1">
        <v>2.5009999999999999</v>
      </c>
      <c r="D463" s="108">
        <f t="shared" si="20"/>
        <v>362.74003800000003</v>
      </c>
      <c r="E463" s="1">
        <v>993.1</v>
      </c>
      <c r="F463" s="1">
        <f t="shared" si="21"/>
        <v>66.800267201068806</v>
      </c>
      <c r="G463" s="1">
        <v>1.4970000000000001E-2</v>
      </c>
      <c r="H463" s="1">
        <v>172.01</v>
      </c>
      <c r="I463" s="1">
        <v>435.66</v>
      </c>
      <c r="J463" s="1">
        <v>0.89910000000000001</v>
      </c>
      <c r="K463" s="1">
        <v>1.9086000000000001</v>
      </c>
      <c r="L463" s="1">
        <v>2.2730000000000001</v>
      </c>
      <c r="M463" s="1">
        <v>1.4570000000000001</v>
      </c>
      <c r="N463" s="1">
        <v>1.821</v>
      </c>
      <c r="O463" s="1">
        <v>643</v>
      </c>
      <c r="P463" s="1">
        <v>217.7</v>
      </c>
      <c r="Q463" s="1">
        <v>122</v>
      </c>
      <c r="R463" s="1">
        <v>13.7</v>
      </c>
      <c r="S463" s="1">
        <v>125</v>
      </c>
      <c r="T463" s="1">
        <v>16.54</v>
      </c>
      <c r="U463" s="1">
        <v>6.9</v>
      </c>
      <c r="V463" s="1" t="s">
        <v>304</v>
      </c>
    </row>
    <row r="464" spans="2:22">
      <c r="B464" s="1" t="s">
        <v>438</v>
      </c>
      <c r="C464" s="1">
        <v>2.5739999999999998</v>
      </c>
      <c r="D464" s="108">
        <f t="shared" si="20"/>
        <v>373.32781199999999</v>
      </c>
      <c r="E464" s="1">
        <v>988.1</v>
      </c>
      <c r="F464" s="1">
        <f t="shared" si="21"/>
        <v>68.965517241379303</v>
      </c>
      <c r="G464" s="1">
        <v>1.4500000000000001E-2</v>
      </c>
      <c r="H464" s="1">
        <v>174.26</v>
      </c>
      <c r="I464" s="1">
        <v>435.41</v>
      </c>
      <c r="J464" s="1">
        <v>0.90739999999999998</v>
      </c>
      <c r="K464" s="1">
        <v>1.9036</v>
      </c>
      <c r="L464" s="1">
        <v>2.29</v>
      </c>
      <c r="M464" s="1">
        <v>1.4830000000000001</v>
      </c>
      <c r="N464" s="1">
        <v>1.84</v>
      </c>
      <c r="O464" s="1">
        <v>635</v>
      </c>
      <c r="P464" s="1">
        <v>217.4</v>
      </c>
      <c r="Q464" s="1">
        <v>120</v>
      </c>
      <c r="R464" s="1">
        <v>13.78</v>
      </c>
      <c r="S464" s="1">
        <v>123.8</v>
      </c>
      <c r="T464" s="1">
        <v>16.739999999999998</v>
      </c>
      <c r="U464" s="1">
        <v>6.7</v>
      </c>
      <c r="V464" s="1" t="s">
        <v>438</v>
      </c>
    </row>
    <row r="465" spans="2:22">
      <c r="B465" s="1" t="s">
        <v>305</v>
      </c>
      <c r="C465" s="1">
        <v>2.6486999999999998</v>
      </c>
      <c r="D465" s="108">
        <f t="shared" si="20"/>
        <v>384.16215060000002</v>
      </c>
      <c r="E465" s="1">
        <v>982.9</v>
      </c>
      <c r="F465" s="1">
        <f t="shared" si="21"/>
        <v>71.17437722419929</v>
      </c>
      <c r="G465" s="1">
        <v>1.405E-2</v>
      </c>
      <c r="H465" s="1">
        <v>176.52</v>
      </c>
      <c r="I465" s="1">
        <v>435.14</v>
      </c>
      <c r="J465" s="1">
        <v>0.91569999999999996</v>
      </c>
      <c r="K465" s="1">
        <v>1.8985000000000001</v>
      </c>
      <c r="L465" s="1">
        <v>2.3069999999999999</v>
      </c>
      <c r="M465" s="1">
        <v>1.5089999999999999</v>
      </c>
      <c r="N465" s="1">
        <v>1.86</v>
      </c>
      <c r="O465" s="1">
        <v>626</v>
      </c>
      <c r="P465" s="1">
        <v>216.9</v>
      </c>
      <c r="Q465" s="1">
        <v>118</v>
      </c>
      <c r="R465" s="1">
        <v>13.86</v>
      </c>
      <c r="S465" s="1">
        <v>122.5</v>
      </c>
      <c r="T465" s="1">
        <v>16.96</v>
      </c>
      <c r="U465" s="1">
        <v>6.5</v>
      </c>
      <c r="V465" s="1" t="s">
        <v>305</v>
      </c>
    </row>
    <row r="466" spans="2:22">
      <c r="B466" s="1" t="s">
        <v>439</v>
      </c>
      <c r="C466" s="1">
        <v>2.7248999999999999</v>
      </c>
      <c r="D466" s="108">
        <f t="shared" si="20"/>
        <v>395.21404619999998</v>
      </c>
      <c r="E466" s="1">
        <v>977.7</v>
      </c>
      <c r="F466" s="1">
        <f t="shared" si="21"/>
        <v>73.475385745775156</v>
      </c>
      <c r="G466" s="1">
        <v>1.3610000000000001E-2</v>
      </c>
      <c r="H466" s="1">
        <v>178.8</v>
      </c>
      <c r="I466" s="1">
        <v>434.84</v>
      </c>
      <c r="J466" s="1">
        <v>0.92400000000000004</v>
      </c>
      <c r="K466" s="1">
        <v>1.8934</v>
      </c>
      <c r="L466" s="1">
        <v>2.3250000000000002</v>
      </c>
      <c r="M466" s="1">
        <v>1.5369999999999999</v>
      </c>
      <c r="N466" s="1">
        <v>1.881</v>
      </c>
      <c r="O466" s="1">
        <v>617</v>
      </c>
      <c r="P466" s="1">
        <v>216.5</v>
      </c>
      <c r="Q466" s="1">
        <v>116.1</v>
      </c>
      <c r="R466" s="1">
        <v>13.95</v>
      </c>
      <c r="S466" s="1">
        <v>121.3</v>
      </c>
      <c r="T466" s="1">
        <v>17.18</v>
      </c>
      <c r="U466" s="1">
        <v>6.29</v>
      </c>
      <c r="V466" s="1" t="s">
        <v>439</v>
      </c>
    </row>
    <row r="467" spans="2:22">
      <c r="B467" s="1" t="s">
        <v>306</v>
      </c>
      <c r="C467" s="1">
        <v>2.8027000000000002</v>
      </c>
      <c r="D467" s="108">
        <f t="shared" si="20"/>
        <v>406.49800260000006</v>
      </c>
      <c r="E467" s="1">
        <v>972.5</v>
      </c>
      <c r="F467" s="1">
        <f t="shared" si="21"/>
        <v>75.815011372251703</v>
      </c>
      <c r="G467" s="1">
        <v>1.319E-2</v>
      </c>
      <c r="H467" s="1">
        <v>181.09</v>
      </c>
      <c r="I467" s="1">
        <v>434.51</v>
      </c>
      <c r="J467" s="1">
        <v>0.93240000000000001</v>
      </c>
      <c r="K467" s="1">
        <v>1.8882000000000001</v>
      </c>
      <c r="L467" s="1">
        <v>2.3450000000000002</v>
      </c>
      <c r="M467" s="1">
        <v>1.5660000000000001</v>
      </c>
      <c r="N467" s="1">
        <v>1.9039999999999999</v>
      </c>
      <c r="O467" s="1">
        <v>609</v>
      </c>
      <c r="P467" s="1">
        <v>216.1</v>
      </c>
      <c r="Q467" s="1">
        <v>114.1</v>
      </c>
      <c r="R467" s="1">
        <v>14.03</v>
      </c>
      <c r="S467" s="1">
        <v>120.1</v>
      </c>
      <c r="T467" s="1">
        <v>17.420000000000002</v>
      </c>
      <c r="U467" s="1">
        <v>6.09</v>
      </c>
      <c r="V467" s="1" t="s">
        <v>306</v>
      </c>
    </row>
    <row r="468" spans="2:22">
      <c r="B468" s="1" t="s">
        <v>440</v>
      </c>
      <c r="C468" s="1">
        <v>2.8820999999999999</v>
      </c>
      <c r="D468" s="108">
        <f t="shared" si="20"/>
        <v>418.01401980000003</v>
      </c>
      <c r="E468" s="1">
        <v>967.1</v>
      </c>
      <c r="F468" s="1">
        <f t="shared" si="21"/>
        <v>78.247261345852891</v>
      </c>
      <c r="G468" s="1">
        <v>1.278E-2</v>
      </c>
      <c r="H468" s="1">
        <v>183.39</v>
      </c>
      <c r="I468" s="1">
        <v>434.17</v>
      </c>
      <c r="J468" s="1">
        <v>0.94079999999999997</v>
      </c>
      <c r="K468" s="1">
        <v>1.883</v>
      </c>
      <c r="L468" s="1">
        <v>2.3650000000000002</v>
      </c>
      <c r="M468" s="1">
        <v>1.597</v>
      </c>
      <c r="N468" s="1">
        <v>1.927</v>
      </c>
      <c r="O468" s="1">
        <v>600</v>
      </c>
      <c r="P468" s="1">
        <v>215.6</v>
      </c>
      <c r="Q468" s="1">
        <v>112.2</v>
      </c>
      <c r="R468" s="1">
        <v>14.12</v>
      </c>
      <c r="S468" s="1">
        <v>118.9</v>
      </c>
      <c r="T468" s="1">
        <v>17.66</v>
      </c>
      <c r="U468" s="1">
        <v>5.89</v>
      </c>
      <c r="V468" s="1" t="s">
        <v>440</v>
      </c>
    </row>
    <row r="469" spans="2:22">
      <c r="B469" s="1" t="s">
        <v>307</v>
      </c>
      <c r="C469" s="1">
        <v>2.9632000000000001</v>
      </c>
      <c r="D469" s="108">
        <f t="shared" si="20"/>
        <v>429.77660160000005</v>
      </c>
      <c r="E469" s="1">
        <v>961.7</v>
      </c>
      <c r="F469" s="1">
        <f t="shared" si="21"/>
        <v>80.775444264943459</v>
      </c>
      <c r="G469" s="1">
        <v>1.238E-2</v>
      </c>
      <c r="H469" s="1">
        <v>185.71</v>
      </c>
      <c r="I469" s="1">
        <v>433.79</v>
      </c>
      <c r="J469" s="1">
        <v>0.94910000000000005</v>
      </c>
      <c r="K469" s="1">
        <v>1.8777999999999999</v>
      </c>
      <c r="L469" s="1">
        <v>2.3860000000000001</v>
      </c>
      <c r="M469" s="1">
        <v>1.629</v>
      </c>
      <c r="N469" s="1">
        <v>1.952</v>
      </c>
      <c r="O469" s="1">
        <v>591</v>
      </c>
      <c r="P469" s="1">
        <v>215.2</v>
      </c>
      <c r="Q469" s="1">
        <v>110.3</v>
      </c>
      <c r="R469" s="1">
        <v>14.2</v>
      </c>
      <c r="S469" s="1">
        <v>117.7</v>
      </c>
      <c r="T469" s="1">
        <v>17.91</v>
      </c>
      <c r="U469" s="1">
        <v>5.7</v>
      </c>
      <c r="V469" s="1" t="s">
        <v>307</v>
      </c>
    </row>
    <row r="470" spans="2:22">
      <c r="B470" s="1" t="s">
        <v>441</v>
      </c>
      <c r="C470" s="1">
        <v>3.0459000000000001</v>
      </c>
      <c r="D470" s="108">
        <f t="shared" si="20"/>
        <v>441.77124420000001</v>
      </c>
      <c r="E470" s="1">
        <v>956.2</v>
      </c>
      <c r="F470" s="1">
        <f t="shared" si="21"/>
        <v>83.333333333333329</v>
      </c>
      <c r="G470" s="1">
        <v>1.2E-2</v>
      </c>
      <c r="H470" s="1">
        <v>188.05</v>
      </c>
      <c r="I470" s="1">
        <v>433.38</v>
      </c>
      <c r="J470" s="1">
        <v>0.95760000000000001</v>
      </c>
      <c r="K470" s="1">
        <v>1.8725000000000001</v>
      </c>
      <c r="L470" s="1">
        <v>2.4079999999999999</v>
      </c>
      <c r="M470" s="1">
        <v>1.663</v>
      </c>
      <c r="N470" s="1">
        <v>1.9790000000000001</v>
      </c>
      <c r="O470" s="1">
        <v>582</v>
      </c>
      <c r="P470" s="1">
        <v>214.7</v>
      </c>
      <c r="Q470" s="1">
        <v>108.4</v>
      </c>
      <c r="R470" s="1">
        <v>14.3</v>
      </c>
      <c r="S470" s="1">
        <v>116.5</v>
      </c>
      <c r="T470" s="1">
        <v>18.170000000000002</v>
      </c>
      <c r="U470" s="1">
        <v>5.5</v>
      </c>
      <c r="V470" s="1" t="s">
        <v>441</v>
      </c>
    </row>
    <row r="471" spans="2:22">
      <c r="B471" s="1" t="s">
        <v>308</v>
      </c>
      <c r="C471" s="1">
        <v>3.1303000000000001</v>
      </c>
      <c r="D471" s="108">
        <f t="shared" si="20"/>
        <v>454.01245140000003</v>
      </c>
      <c r="E471" s="1">
        <v>950.6</v>
      </c>
      <c r="F471" s="1">
        <f t="shared" si="21"/>
        <v>86.058519793459553</v>
      </c>
      <c r="G471" s="1">
        <v>1.162E-2</v>
      </c>
      <c r="H471" s="1">
        <v>190.4</v>
      </c>
      <c r="I471" s="1">
        <v>432.95</v>
      </c>
      <c r="J471" s="1">
        <v>0.96599999999999997</v>
      </c>
      <c r="K471" s="1">
        <v>1.8672</v>
      </c>
      <c r="L471" s="1">
        <v>2.4319999999999999</v>
      </c>
      <c r="M471" s="1">
        <v>1.6990000000000001</v>
      </c>
      <c r="N471" s="1">
        <v>2.0070000000000001</v>
      </c>
      <c r="O471" s="1">
        <v>573</v>
      </c>
      <c r="P471" s="1">
        <v>214.2</v>
      </c>
      <c r="Q471" s="1">
        <v>106.6</v>
      </c>
      <c r="R471" s="1">
        <v>14.39</v>
      </c>
      <c r="S471" s="1">
        <v>115.3</v>
      </c>
      <c r="T471" s="1">
        <v>18.440000000000001</v>
      </c>
      <c r="U471" s="1">
        <v>5.3</v>
      </c>
      <c r="V471" s="1" t="s">
        <v>308</v>
      </c>
    </row>
    <row r="472" spans="2:22">
      <c r="B472" s="1" t="s">
        <v>442</v>
      </c>
      <c r="C472" s="1">
        <v>3.2164000000000001</v>
      </c>
      <c r="D472" s="108">
        <f t="shared" si="20"/>
        <v>466.50022320000005</v>
      </c>
      <c r="E472" s="1">
        <v>945</v>
      </c>
      <c r="F472" s="1">
        <f t="shared" si="21"/>
        <v>88.80994671403198</v>
      </c>
      <c r="G472" s="1">
        <v>1.1259999999999999E-2</v>
      </c>
      <c r="H472" s="1">
        <v>192.77</v>
      </c>
      <c r="I472" s="1">
        <v>432.48</v>
      </c>
      <c r="J472" s="1">
        <v>0.97440000000000004</v>
      </c>
      <c r="K472" s="1">
        <v>1.8617999999999999</v>
      </c>
      <c r="L472" s="1">
        <v>2.4569999999999999</v>
      </c>
      <c r="M472" s="1">
        <v>1.7370000000000001</v>
      </c>
      <c r="N472" s="1">
        <v>2.0369999999999999</v>
      </c>
      <c r="O472" s="1">
        <v>564</v>
      </c>
      <c r="P472" s="1">
        <v>213.7</v>
      </c>
      <c r="Q472" s="1">
        <v>104.8</v>
      </c>
      <c r="R472" s="1">
        <v>14.48</v>
      </c>
      <c r="S472" s="1">
        <v>114.1</v>
      </c>
      <c r="T472" s="1">
        <v>18.73</v>
      </c>
      <c r="U472" s="1">
        <v>5.1100000000000003</v>
      </c>
      <c r="V472" s="1" t="s">
        <v>442</v>
      </c>
    </row>
    <row r="473" spans="2:22">
      <c r="B473" s="1" t="s">
        <v>309</v>
      </c>
      <c r="C473" s="1">
        <v>3.3041999999999998</v>
      </c>
      <c r="D473" s="108">
        <f t="shared" si="20"/>
        <v>479.23455960000001</v>
      </c>
      <c r="E473" s="1">
        <v>939.2</v>
      </c>
      <c r="F473" s="1">
        <f t="shared" si="21"/>
        <v>91.659028414298817</v>
      </c>
      <c r="G473" s="1">
        <v>1.091E-2</v>
      </c>
      <c r="H473" s="1">
        <v>195.16</v>
      </c>
      <c r="I473" s="1">
        <v>431.99</v>
      </c>
      <c r="J473" s="1">
        <v>0.9829</v>
      </c>
      <c r="K473" s="1">
        <v>1.8563000000000001</v>
      </c>
      <c r="L473" s="1">
        <v>2.484</v>
      </c>
      <c r="M473" s="1">
        <v>1.7769999999999999</v>
      </c>
      <c r="N473" s="1">
        <v>2.0680000000000001</v>
      </c>
      <c r="O473" s="1">
        <v>555</v>
      </c>
      <c r="P473" s="1">
        <v>213.1</v>
      </c>
      <c r="Q473" s="1">
        <v>102.9</v>
      </c>
      <c r="R473" s="1">
        <v>14.58</v>
      </c>
      <c r="S473" s="1">
        <v>112.9</v>
      </c>
      <c r="T473" s="1">
        <v>19.03</v>
      </c>
      <c r="U473" s="1">
        <v>4.92</v>
      </c>
      <c r="V473" s="1" t="s">
        <v>309</v>
      </c>
    </row>
    <row r="474" spans="2:22">
      <c r="B474" s="1" t="s">
        <v>443</v>
      </c>
      <c r="C474" s="1">
        <v>3.3938000000000001</v>
      </c>
      <c r="D474" s="108">
        <f t="shared" si="20"/>
        <v>492.22996440000009</v>
      </c>
      <c r="E474" s="1">
        <v>933.4</v>
      </c>
      <c r="F474" s="1">
        <f t="shared" si="21"/>
        <v>94.607379375591307</v>
      </c>
      <c r="G474" s="1">
        <v>1.057E-2</v>
      </c>
      <c r="H474" s="1">
        <v>197.57</v>
      </c>
      <c r="I474" s="1">
        <v>431.46</v>
      </c>
      <c r="J474" s="1">
        <v>0.99139999999999995</v>
      </c>
      <c r="K474" s="1">
        <v>1.8509</v>
      </c>
      <c r="L474" s="1">
        <v>2.512</v>
      </c>
      <c r="M474" s="1">
        <v>1.819</v>
      </c>
      <c r="N474" s="1">
        <v>2.1019999999999999</v>
      </c>
      <c r="O474" s="1">
        <v>546</v>
      </c>
      <c r="P474" s="1">
        <v>212.6</v>
      </c>
      <c r="Q474" s="1">
        <v>101.2</v>
      </c>
      <c r="R474" s="1">
        <v>14.68</v>
      </c>
      <c r="S474" s="1">
        <v>111.6</v>
      </c>
      <c r="T474" s="1">
        <v>19.34</v>
      </c>
      <c r="U474" s="1">
        <v>4.7300000000000004</v>
      </c>
      <c r="V474" s="1" t="s">
        <v>443</v>
      </c>
    </row>
    <row r="475" spans="2:22">
      <c r="B475" s="1">
        <v>0</v>
      </c>
      <c r="C475" s="1">
        <v>3.4851000000000001</v>
      </c>
      <c r="D475" s="108">
        <f t="shared" si="20"/>
        <v>505.47193380000004</v>
      </c>
      <c r="E475" s="1">
        <v>927.4</v>
      </c>
      <c r="F475" s="1">
        <f t="shared" si="21"/>
        <v>97.656249999999986</v>
      </c>
      <c r="G475" s="1">
        <v>1.0240000000000001E-2</v>
      </c>
      <c r="H475" s="1">
        <v>200</v>
      </c>
      <c r="I475" s="1">
        <v>430.89</v>
      </c>
      <c r="J475" s="1">
        <v>1</v>
      </c>
      <c r="K475" s="1">
        <v>1.8452999999999999</v>
      </c>
      <c r="L475" s="1">
        <v>2.5419999999999998</v>
      </c>
      <c r="M475" s="1">
        <v>1.865</v>
      </c>
      <c r="N475" s="1">
        <v>2.1379999999999999</v>
      </c>
      <c r="O475" s="1">
        <v>536</v>
      </c>
      <c r="P475" s="1">
        <v>212</v>
      </c>
      <c r="Q475" s="1">
        <v>99.4</v>
      </c>
      <c r="R475" s="1">
        <v>14.79</v>
      </c>
      <c r="S475" s="1">
        <v>110.4</v>
      </c>
      <c r="T475" s="1">
        <v>19.670000000000002</v>
      </c>
      <c r="U475" s="1">
        <v>4.54</v>
      </c>
      <c r="V475" s="1">
        <v>0</v>
      </c>
    </row>
    <row r="476" spans="2:22">
      <c r="B476" s="1">
        <v>1</v>
      </c>
      <c r="C476" s="1">
        <v>3.5783</v>
      </c>
      <c r="D476" s="108">
        <f t="shared" si="20"/>
        <v>518.98947540000006</v>
      </c>
      <c r="E476" s="1">
        <v>921.4</v>
      </c>
      <c r="F476" s="1">
        <f t="shared" si="21"/>
        <v>100.80645161290323</v>
      </c>
      <c r="G476" s="1">
        <v>9.92E-3</v>
      </c>
      <c r="H476" s="1">
        <v>202.45</v>
      </c>
      <c r="I476" s="1">
        <v>430.29</v>
      </c>
      <c r="J476" s="1">
        <v>1.0085999999999999</v>
      </c>
      <c r="K476" s="1">
        <v>1.8396999999999999</v>
      </c>
      <c r="L476" s="1">
        <v>2.5739999999999998</v>
      </c>
      <c r="M476" s="1">
        <v>1.913</v>
      </c>
      <c r="N476" s="1">
        <v>2.1760000000000002</v>
      </c>
      <c r="O476" s="1">
        <v>527</v>
      </c>
      <c r="P476" s="1">
        <v>211.5</v>
      </c>
      <c r="Q476" s="1">
        <v>97.6</v>
      </c>
      <c r="R476" s="1">
        <v>14.89</v>
      </c>
      <c r="S476" s="1">
        <v>109.2</v>
      </c>
      <c r="T476" s="1">
        <v>20.02</v>
      </c>
      <c r="U476" s="1">
        <v>4.3499999999999996</v>
      </c>
      <c r="V476" s="1">
        <v>1</v>
      </c>
    </row>
    <row r="477" spans="2:22">
      <c r="B477" s="1">
        <v>2</v>
      </c>
      <c r="C477" s="1">
        <v>3.6732999999999998</v>
      </c>
      <c r="D477" s="108">
        <f t="shared" si="20"/>
        <v>532.76808540000002</v>
      </c>
      <c r="E477" s="1">
        <v>915.2</v>
      </c>
      <c r="F477" s="1">
        <f t="shared" si="21"/>
        <v>104.05827263267429</v>
      </c>
      <c r="G477" s="1">
        <v>9.6100000000000005E-3</v>
      </c>
      <c r="H477" s="1">
        <v>204.93</v>
      </c>
      <c r="I477" s="1">
        <v>429.65</v>
      </c>
      <c r="J477" s="1">
        <v>1.0172000000000001</v>
      </c>
      <c r="K477" s="1">
        <v>1.8340000000000001</v>
      </c>
      <c r="L477" s="1">
        <v>2.609</v>
      </c>
      <c r="M477" s="1">
        <v>1.9650000000000001</v>
      </c>
      <c r="N477" s="1">
        <v>2.218</v>
      </c>
      <c r="O477" s="1">
        <v>518</v>
      </c>
      <c r="P477" s="1">
        <v>210.9</v>
      </c>
      <c r="Q477" s="1">
        <v>95.9</v>
      </c>
      <c r="R477" s="1">
        <v>15</v>
      </c>
      <c r="S477" s="1">
        <v>108</v>
      </c>
      <c r="T477" s="1">
        <v>20.38</v>
      </c>
      <c r="U477" s="1">
        <v>4.17</v>
      </c>
      <c r="V477" s="1">
        <v>2</v>
      </c>
    </row>
    <row r="478" spans="2:22">
      <c r="B478" s="1">
        <v>3</v>
      </c>
      <c r="C478" s="1">
        <v>3.7700999999999998</v>
      </c>
      <c r="D478" s="108">
        <f t="shared" si="20"/>
        <v>546.80776379999998</v>
      </c>
      <c r="E478" s="1">
        <v>909</v>
      </c>
      <c r="F478" s="1">
        <f t="shared" si="21"/>
        <v>107.41138560687432</v>
      </c>
      <c r="G478" s="1">
        <v>9.3100000000000006E-3</v>
      </c>
      <c r="H478" s="1">
        <v>207.43</v>
      </c>
      <c r="I478" s="1">
        <v>428.97</v>
      </c>
      <c r="J478" s="1">
        <v>1.0259</v>
      </c>
      <c r="K478" s="1">
        <v>1.8282</v>
      </c>
      <c r="L478" s="1">
        <v>2.645</v>
      </c>
      <c r="M478" s="1">
        <v>2.02</v>
      </c>
      <c r="N478" s="1">
        <v>2.262</v>
      </c>
      <c r="O478" s="1">
        <v>508</v>
      </c>
      <c r="P478" s="1">
        <v>210.3</v>
      </c>
      <c r="Q478" s="1">
        <v>94.2</v>
      </c>
      <c r="R478" s="1">
        <v>15.12</v>
      </c>
      <c r="S478" s="1">
        <v>106.8</v>
      </c>
      <c r="T478" s="1">
        <v>20.76</v>
      </c>
      <c r="U478" s="1">
        <v>3.99</v>
      </c>
      <c r="V478" s="1">
        <v>3</v>
      </c>
    </row>
    <row r="479" spans="2:22">
      <c r="B479" s="1">
        <v>4</v>
      </c>
      <c r="C479" s="1">
        <v>3.8687999999999998</v>
      </c>
      <c r="D479" s="108">
        <f t="shared" si="20"/>
        <v>561.12301439999999</v>
      </c>
      <c r="E479" s="1">
        <v>902.6</v>
      </c>
      <c r="F479" s="1">
        <f t="shared" si="21"/>
        <v>110.98779134295226</v>
      </c>
      <c r="G479" s="1">
        <v>9.0100000000000006E-3</v>
      </c>
      <c r="H479" s="1">
        <v>209.95</v>
      </c>
      <c r="I479" s="1">
        <v>428.25</v>
      </c>
      <c r="J479" s="1">
        <v>1.0346</v>
      </c>
      <c r="K479" s="1">
        <v>1.8223</v>
      </c>
      <c r="L479" s="1">
        <v>2.6850000000000001</v>
      </c>
      <c r="M479" s="1">
        <v>2.08</v>
      </c>
      <c r="N479" s="1">
        <v>2.3090000000000002</v>
      </c>
      <c r="O479" s="1">
        <v>499</v>
      </c>
      <c r="P479" s="1">
        <v>209.6</v>
      </c>
      <c r="Q479" s="1">
        <v>92.5</v>
      </c>
      <c r="R479" s="1">
        <v>15.24</v>
      </c>
      <c r="S479" s="1">
        <v>105.5</v>
      </c>
      <c r="T479" s="1">
        <v>21.17</v>
      </c>
      <c r="U479" s="1">
        <v>3.8</v>
      </c>
      <c r="V479" s="1">
        <v>4</v>
      </c>
    </row>
    <row r="480" spans="2:22">
      <c r="B480" s="1">
        <v>5</v>
      </c>
      <c r="C480" s="1">
        <v>3.9695</v>
      </c>
      <c r="D480" s="108">
        <f t="shared" si="20"/>
        <v>575.728341</v>
      </c>
      <c r="E480" s="1">
        <v>896</v>
      </c>
      <c r="F480" s="1">
        <f t="shared" si="21"/>
        <v>114.6788990825688</v>
      </c>
      <c r="G480" s="1">
        <v>8.7200000000000003E-3</v>
      </c>
      <c r="H480" s="1">
        <v>212.5</v>
      </c>
      <c r="I480" s="1">
        <v>427.48</v>
      </c>
      <c r="J480" s="1">
        <v>1.0434000000000001</v>
      </c>
      <c r="K480" s="1">
        <v>1.8163</v>
      </c>
      <c r="L480" s="1">
        <v>2.7269999999999999</v>
      </c>
      <c r="M480" s="1">
        <v>2.1440000000000001</v>
      </c>
      <c r="N480" s="1">
        <v>2.36</v>
      </c>
      <c r="O480" s="1">
        <v>489</v>
      </c>
      <c r="P480" s="1">
        <v>209</v>
      </c>
      <c r="Q480" s="1">
        <v>90.8</v>
      </c>
      <c r="R480" s="1">
        <v>15.36</v>
      </c>
      <c r="S480" s="1">
        <v>104.3</v>
      </c>
      <c r="T480" s="1">
        <v>21.6</v>
      </c>
      <c r="U480" s="1">
        <v>3.62</v>
      </c>
      <c r="V480" s="1">
        <v>5</v>
      </c>
    </row>
    <row r="481" spans="2:22">
      <c r="B481" s="1">
        <v>6</v>
      </c>
      <c r="C481" s="1">
        <v>4.0720000000000001</v>
      </c>
      <c r="D481" s="108">
        <f t="shared" si="20"/>
        <v>590.59473600000001</v>
      </c>
      <c r="E481" s="1">
        <v>889.4</v>
      </c>
      <c r="F481" s="1">
        <f t="shared" si="21"/>
        <v>118.3431952662722</v>
      </c>
      <c r="G481" s="1">
        <v>8.4499999999999992E-3</v>
      </c>
      <c r="H481" s="1">
        <v>215.08</v>
      </c>
      <c r="I481" s="1">
        <v>426.67</v>
      </c>
      <c r="J481" s="1">
        <v>1.0523</v>
      </c>
      <c r="K481" s="1">
        <v>1.8102</v>
      </c>
      <c r="L481" s="1">
        <v>2.7719999999999998</v>
      </c>
      <c r="M481" s="1">
        <v>2.2130000000000001</v>
      </c>
      <c r="N481" s="1">
        <v>2.4159999999999999</v>
      </c>
      <c r="O481" s="1">
        <v>480</v>
      </c>
      <c r="P481" s="1">
        <v>208.3</v>
      </c>
      <c r="Q481" s="1">
        <v>89.1</v>
      </c>
      <c r="R481" s="1">
        <v>15.49</v>
      </c>
      <c r="S481" s="1">
        <v>103.1</v>
      </c>
      <c r="T481" s="1">
        <v>22.06</v>
      </c>
      <c r="U481" s="1">
        <v>3.45</v>
      </c>
      <c r="V481" s="1">
        <v>6</v>
      </c>
    </row>
    <row r="482" spans="2:22">
      <c r="B482" s="1">
        <v>7</v>
      </c>
      <c r="C482" s="1">
        <v>4.1764999999999999</v>
      </c>
      <c r="D482" s="108">
        <f t="shared" si="20"/>
        <v>605.75120700000002</v>
      </c>
      <c r="E482" s="1">
        <v>882.6</v>
      </c>
      <c r="F482" s="1">
        <f t="shared" si="21"/>
        <v>122.39902080783354</v>
      </c>
      <c r="G482" s="1">
        <v>8.1700000000000002E-3</v>
      </c>
      <c r="H482" s="1">
        <v>217.69</v>
      </c>
      <c r="I482" s="1">
        <v>425.81</v>
      </c>
      <c r="J482" s="1">
        <v>1.0611999999999999</v>
      </c>
      <c r="K482" s="1">
        <v>1.8041</v>
      </c>
      <c r="L482" s="1">
        <v>2.8220000000000001</v>
      </c>
      <c r="M482" s="1">
        <v>2.2890000000000001</v>
      </c>
      <c r="N482" s="1">
        <v>2.476</v>
      </c>
      <c r="O482" s="1">
        <v>470</v>
      </c>
      <c r="P482" s="1">
        <v>207.6</v>
      </c>
      <c r="Q482" s="1">
        <v>87.5</v>
      </c>
      <c r="R482" s="1">
        <v>15.62</v>
      </c>
      <c r="S482" s="1">
        <v>101.8</v>
      </c>
      <c r="T482" s="1">
        <v>22.54</v>
      </c>
      <c r="U482" s="1">
        <v>3.27</v>
      </c>
      <c r="V482" s="1">
        <v>7</v>
      </c>
    </row>
    <row r="483" spans="2:22">
      <c r="B483" s="1">
        <v>8</v>
      </c>
      <c r="C483" s="1">
        <v>4.2831000000000001</v>
      </c>
      <c r="D483" s="108">
        <f t="shared" si="20"/>
        <v>621.21225780000009</v>
      </c>
      <c r="E483" s="1">
        <v>875.6</v>
      </c>
      <c r="F483" s="1">
        <f t="shared" si="21"/>
        <v>126.42225031605562</v>
      </c>
      <c r="G483" s="1">
        <v>7.9100000000000004E-3</v>
      </c>
      <c r="H483" s="1">
        <v>220.34</v>
      </c>
      <c r="I483" s="1">
        <v>424.89</v>
      </c>
      <c r="J483" s="1">
        <v>1.0702</v>
      </c>
      <c r="K483" s="1">
        <v>1.7977000000000001</v>
      </c>
      <c r="L483" s="1">
        <v>2.875</v>
      </c>
      <c r="M483" s="1">
        <v>2.37</v>
      </c>
      <c r="N483" s="1">
        <v>2.5409999999999999</v>
      </c>
      <c r="O483" s="1">
        <v>460</v>
      </c>
      <c r="P483" s="1">
        <v>206.9</v>
      </c>
      <c r="Q483" s="1">
        <v>85.8</v>
      </c>
      <c r="R483" s="1">
        <v>15.76</v>
      </c>
      <c r="S483" s="1">
        <v>100.6</v>
      </c>
      <c r="T483" s="1">
        <v>23.06</v>
      </c>
      <c r="U483" s="1">
        <v>3.1</v>
      </c>
      <c r="V483" s="1">
        <v>8</v>
      </c>
    </row>
    <row r="484" spans="2:22">
      <c r="B484" s="1">
        <v>9</v>
      </c>
      <c r="C484" s="1">
        <v>4.3916000000000004</v>
      </c>
      <c r="D484" s="108">
        <f t="shared" si="20"/>
        <v>636.9488808000001</v>
      </c>
      <c r="E484" s="1">
        <v>868.4</v>
      </c>
      <c r="F484" s="1">
        <f t="shared" si="21"/>
        <v>130.71895424836603</v>
      </c>
      <c r="G484" s="1">
        <v>7.6499999999999997E-3</v>
      </c>
      <c r="H484" s="1">
        <v>223.01</v>
      </c>
      <c r="I484" s="1">
        <v>423.92</v>
      </c>
      <c r="J484" s="1">
        <v>1.0791999999999999</v>
      </c>
      <c r="K484" s="1">
        <v>1.7912999999999999</v>
      </c>
      <c r="L484" s="1">
        <v>2.9340000000000002</v>
      </c>
      <c r="M484" s="1">
        <v>2.46</v>
      </c>
      <c r="N484" s="1">
        <v>2.6120000000000001</v>
      </c>
      <c r="O484" s="1">
        <v>451</v>
      </c>
      <c r="P484" s="1">
        <v>206.2</v>
      </c>
      <c r="Q484" s="1">
        <v>84.2</v>
      </c>
      <c r="R484" s="1">
        <v>15.91</v>
      </c>
      <c r="S484" s="1">
        <v>99.4</v>
      </c>
      <c r="T484" s="1">
        <v>23.61</v>
      </c>
      <c r="U484" s="1">
        <v>2.93</v>
      </c>
      <c r="V484" s="1">
        <v>9</v>
      </c>
    </row>
    <row r="485" spans="2:22">
      <c r="B485" s="1">
        <v>10</v>
      </c>
      <c r="C485" s="1">
        <v>4.5022000000000002</v>
      </c>
      <c r="D485" s="108">
        <f t="shared" si="20"/>
        <v>652.99008360000005</v>
      </c>
      <c r="E485" s="1">
        <v>861.1</v>
      </c>
      <c r="F485" s="1">
        <f t="shared" si="21"/>
        <v>135.13513513513513</v>
      </c>
      <c r="G485" s="1">
        <v>7.4000000000000003E-3</v>
      </c>
      <c r="H485" s="1">
        <v>225.73</v>
      </c>
      <c r="I485" s="1">
        <v>422.88</v>
      </c>
      <c r="J485" s="1">
        <v>1.0884</v>
      </c>
      <c r="K485" s="1">
        <v>1.7847</v>
      </c>
      <c r="L485" s="1">
        <v>2.9980000000000002</v>
      </c>
      <c r="M485" s="1">
        <v>2.5579999999999998</v>
      </c>
      <c r="N485" s="1">
        <v>2.69</v>
      </c>
      <c r="O485" s="1">
        <v>441</v>
      </c>
      <c r="P485" s="1">
        <v>205.4</v>
      </c>
      <c r="Q485" s="1">
        <v>82.6</v>
      </c>
      <c r="R485" s="1">
        <v>16.059999999999999</v>
      </c>
      <c r="S485" s="1">
        <v>98.1</v>
      </c>
      <c r="T485" s="1">
        <v>24.21</v>
      </c>
      <c r="U485" s="1">
        <v>2.76</v>
      </c>
      <c r="V485" s="1">
        <v>10</v>
      </c>
    </row>
    <row r="486" spans="2:22">
      <c r="B486" s="1">
        <v>11</v>
      </c>
      <c r="C486" s="1">
        <v>4.6148999999999996</v>
      </c>
      <c r="D486" s="108">
        <f t="shared" si="20"/>
        <v>669.33586619999994</v>
      </c>
      <c r="E486" s="1">
        <v>853.6</v>
      </c>
      <c r="F486" s="1">
        <f t="shared" si="21"/>
        <v>139.86013986013987</v>
      </c>
      <c r="G486" s="1">
        <v>7.1500000000000001E-3</v>
      </c>
      <c r="H486" s="1">
        <v>228.49</v>
      </c>
      <c r="I486" s="1">
        <v>421.79</v>
      </c>
      <c r="J486" s="1">
        <v>1.0975999999999999</v>
      </c>
      <c r="K486" s="1">
        <v>1.7779</v>
      </c>
      <c r="L486" s="1">
        <v>3.0680000000000001</v>
      </c>
      <c r="M486" s="1">
        <v>2.6659999999999999</v>
      </c>
      <c r="N486" s="1">
        <v>2.7759999999999998</v>
      </c>
      <c r="O486" s="1">
        <v>431</v>
      </c>
      <c r="P486" s="1">
        <v>204.6</v>
      </c>
      <c r="Q486" s="1">
        <v>80.900000000000006</v>
      </c>
      <c r="R486" s="1">
        <v>16.22</v>
      </c>
      <c r="S486" s="1">
        <v>96.9</v>
      </c>
      <c r="T486" s="1">
        <v>24.84</v>
      </c>
      <c r="U486" s="1">
        <v>2.59</v>
      </c>
      <c r="V486" s="1">
        <v>11</v>
      </c>
    </row>
    <row r="487" spans="2:22">
      <c r="B487" s="1">
        <v>12</v>
      </c>
      <c r="C487" s="1">
        <v>4.7297000000000002</v>
      </c>
      <c r="D487" s="108">
        <f t="shared" si="20"/>
        <v>685.98622860000012</v>
      </c>
      <c r="E487" s="1">
        <v>845.9</v>
      </c>
      <c r="F487" s="1">
        <f t="shared" si="21"/>
        <v>144.71780028943559</v>
      </c>
      <c r="G487" s="1">
        <v>6.9100000000000003E-3</v>
      </c>
      <c r="H487" s="1">
        <v>231.29</v>
      </c>
      <c r="I487" s="1">
        <v>420.62</v>
      </c>
      <c r="J487" s="1">
        <v>1.107</v>
      </c>
      <c r="K487" s="1">
        <v>1.7709999999999999</v>
      </c>
      <c r="L487" s="1">
        <v>3.145</v>
      </c>
      <c r="M487" s="1">
        <v>2.786</v>
      </c>
      <c r="N487" s="1">
        <v>2.871</v>
      </c>
      <c r="O487" s="1">
        <v>421</v>
      </c>
      <c r="P487" s="1">
        <v>203.8</v>
      </c>
      <c r="Q487" s="1">
        <v>79.3</v>
      </c>
      <c r="R487" s="1">
        <v>16.39</v>
      </c>
      <c r="S487" s="1">
        <v>95.6</v>
      </c>
      <c r="T487" s="1">
        <v>25.53</v>
      </c>
      <c r="U487" s="1">
        <v>2.42</v>
      </c>
      <c r="V487" s="1">
        <v>12</v>
      </c>
    </row>
    <row r="488" spans="2:22">
      <c r="B488" s="1">
        <v>13</v>
      </c>
      <c r="C488" s="1">
        <v>4.8465999999999996</v>
      </c>
      <c r="D488" s="108">
        <f t="shared" si="20"/>
        <v>702.94117080000001</v>
      </c>
      <c r="E488" s="1">
        <v>837.9</v>
      </c>
      <c r="F488" s="1">
        <f t="shared" si="21"/>
        <v>149.70059880239521</v>
      </c>
      <c r="G488" s="1">
        <v>6.6800000000000002E-3</v>
      </c>
      <c r="H488" s="1">
        <v>234.13</v>
      </c>
      <c r="I488" s="1">
        <v>419.37</v>
      </c>
      <c r="J488" s="1">
        <v>1.1165</v>
      </c>
      <c r="K488" s="1">
        <v>1.7638</v>
      </c>
      <c r="L488" s="1">
        <v>3.2320000000000002</v>
      </c>
      <c r="M488" s="1">
        <v>2.919</v>
      </c>
      <c r="N488" s="1">
        <v>2.9769999999999999</v>
      </c>
      <c r="O488" s="1">
        <v>411</v>
      </c>
      <c r="P488" s="1">
        <v>203</v>
      </c>
      <c r="Q488" s="1">
        <v>77.7</v>
      </c>
      <c r="R488" s="1">
        <v>16.559999999999999</v>
      </c>
      <c r="S488" s="1">
        <v>94.4</v>
      </c>
      <c r="T488" s="1">
        <v>26.27</v>
      </c>
      <c r="U488" s="1">
        <v>2.2599999999999998</v>
      </c>
      <c r="V488" s="1">
        <v>13</v>
      </c>
    </row>
    <row r="489" spans="2:22">
      <c r="B489" s="1">
        <v>14</v>
      </c>
      <c r="C489" s="1">
        <v>4.9657999999999998</v>
      </c>
      <c r="D489" s="108">
        <f t="shared" si="20"/>
        <v>720.22970040000007</v>
      </c>
      <c r="E489" s="1">
        <v>829.7</v>
      </c>
      <c r="F489" s="1">
        <f t="shared" si="21"/>
        <v>155.03875968992247</v>
      </c>
      <c r="G489" s="1">
        <v>6.45E-3</v>
      </c>
      <c r="H489" s="1">
        <v>237.03</v>
      </c>
      <c r="I489" s="1">
        <v>418.05</v>
      </c>
      <c r="J489" s="1">
        <v>1.1261000000000001</v>
      </c>
      <c r="K489" s="1">
        <v>1.7565</v>
      </c>
      <c r="L489" s="1">
        <v>3.3279999999999998</v>
      </c>
      <c r="M489" s="1">
        <v>3.0680000000000001</v>
      </c>
      <c r="N489" s="1">
        <v>3.0950000000000002</v>
      </c>
      <c r="O489" s="1">
        <v>401</v>
      </c>
      <c r="P489" s="1">
        <v>202.1</v>
      </c>
      <c r="Q489" s="1">
        <v>76.099999999999994</v>
      </c>
      <c r="R489" s="1">
        <v>16.75</v>
      </c>
      <c r="S489" s="1">
        <v>93.1</v>
      </c>
      <c r="T489" s="1">
        <v>27.08</v>
      </c>
      <c r="U489" s="1">
        <v>2.1</v>
      </c>
      <c r="V489" s="1">
        <v>14</v>
      </c>
    </row>
    <row r="490" spans="2:22">
      <c r="B490" s="1">
        <v>15</v>
      </c>
      <c r="C490" s="1">
        <v>5.0870100000000003</v>
      </c>
      <c r="D490" s="108">
        <f t="shared" si="20"/>
        <v>737.80975638000007</v>
      </c>
      <c r="E490" s="1">
        <v>821.2</v>
      </c>
      <c r="F490" s="1">
        <f t="shared" si="21"/>
        <v>160.77170418006432</v>
      </c>
      <c r="G490" s="1">
        <v>6.2199999999999998E-3</v>
      </c>
      <c r="H490" s="1">
        <v>239.99</v>
      </c>
      <c r="I490" s="1">
        <v>416.64</v>
      </c>
      <c r="J490" s="1">
        <v>1.1358999999999999</v>
      </c>
      <c r="K490" s="1">
        <v>1.7488999999999999</v>
      </c>
      <c r="L490" s="1">
        <v>3.4359999999999999</v>
      </c>
      <c r="M490" s="1">
        <v>3.2370000000000001</v>
      </c>
      <c r="N490" s="1">
        <v>3.2280000000000002</v>
      </c>
      <c r="O490" s="1">
        <v>391</v>
      </c>
      <c r="P490" s="1">
        <v>201.2</v>
      </c>
      <c r="Q490" s="1">
        <v>74.400000000000006</v>
      </c>
      <c r="R490" s="1">
        <v>16.95</v>
      </c>
      <c r="S490" s="1">
        <v>91.9</v>
      </c>
      <c r="T490" s="1">
        <v>27.96</v>
      </c>
      <c r="U490" s="1">
        <v>1.95</v>
      </c>
      <c r="V490" s="1">
        <v>15</v>
      </c>
    </row>
    <row r="491" spans="2:22">
      <c r="B491" s="1">
        <v>16</v>
      </c>
      <c r="C491" s="1">
        <v>5.2107999999999999</v>
      </c>
      <c r="D491" s="108">
        <f t="shared" si="20"/>
        <v>755.76401040000007</v>
      </c>
      <c r="E491" s="1">
        <v>812.4</v>
      </c>
      <c r="F491" s="1">
        <f t="shared" si="21"/>
        <v>166.66666666666666</v>
      </c>
      <c r="G491" s="1">
        <v>6.0000000000000001E-3</v>
      </c>
      <c r="H491" s="1">
        <v>243.01</v>
      </c>
      <c r="I491" s="1">
        <v>415.12</v>
      </c>
      <c r="J491" s="1">
        <v>1.1457999999999999</v>
      </c>
      <c r="K491" s="1">
        <v>1.7411000000000001</v>
      </c>
      <c r="L491" s="1">
        <v>3.5579999999999998</v>
      </c>
      <c r="M491" s="1">
        <v>3.4289999999999998</v>
      </c>
      <c r="N491" s="1">
        <v>3.3780000000000001</v>
      </c>
      <c r="O491" s="1">
        <v>381</v>
      </c>
      <c r="P491" s="1">
        <v>200.3</v>
      </c>
      <c r="Q491" s="1">
        <v>72.8</v>
      </c>
      <c r="R491" s="1">
        <v>17.16</v>
      </c>
      <c r="S491" s="1">
        <v>90.6</v>
      </c>
      <c r="T491" s="1">
        <v>28.93</v>
      </c>
      <c r="U491" s="1">
        <v>1.79</v>
      </c>
      <c r="V491" s="1">
        <v>16</v>
      </c>
    </row>
    <row r="492" spans="2:22">
      <c r="B492" s="1">
        <v>17</v>
      </c>
      <c r="C492" s="1">
        <v>5.3368000000000002</v>
      </c>
      <c r="D492" s="108">
        <f t="shared" si="20"/>
        <v>774.03879840000013</v>
      </c>
      <c r="E492" s="1">
        <v>803.3</v>
      </c>
      <c r="F492" s="1">
        <f t="shared" si="21"/>
        <v>173.01038062283735</v>
      </c>
      <c r="G492" s="1">
        <v>5.7800000000000004E-3</v>
      </c>
      <c r="H492" s="1">
        <v>246.1</v>
      </c>
      <c r="I492" s="1">
        <v>413.5</v>
      </c>
      <c r="J492" s="1">
        <v>1.1558999999999999</v>
      </c>
      <c r="K492" s="1">
        <v>1.7329000000000001</v>
      </c>
      <c r="L492" s="1">
        <v>3.698</v>
      </c>
      <c r="M492" s="1">
        <v>3.649</v>
      </c>
      <c r="N492" s="1">
        <v>3.55</v>
      </c>
      <c r="O492" s="1">
        <v>370</v>
      </c>
      <c r="P492" s="1">
        <v>199.3</v>
      </c>
      <c r="Q492" s="1">
        <v>71.2</v>
      </c>
      <c r="R492" s="1">
        <v>17.39</v>
      </c>
      <c r="S492" s="1">
        <v>89.4</v>
      </c>
      <c r="T492" s="1">
        <v>29.99</v>
      </c>
      <c r="U492" s="1">
        <v>1.64</v>
      </c>
      <c r="V492" s="1">
        <v>17</v>
      </c>
    </row>
    <row r="493" spans="2:22">
      <c r="B493" s="1">
        <v>18</v>
      </c>
      <c r="C493" s="1">
        <v>5.4650999999999996</v>
      </c>
      <c r="D493" s="108">
        <f t="shared" si="20"/>
        <v>792.64717380000002</v>
      </c>
      <c r="E493" s="1">
        <v>793.8</v>
      </c>
      <c r="F493" s="1">
        <f t="shared" si="21"/>
        <v>179.53321364452424</v>
      </c>
      <c r="G493" s="1">
        <v>5.5700000000000003E-3</v>
      </c>
      <c r="H493" s="1">
        <v>249.26</v>
      </c>
      <c r="I493" s="1">
        <v>411.76</v>
      </c>
      <c r="J493" s="1">
        <v>1.1662999999999999</v>
      </c>
      <c r="K493" s="1">
        <v>1.7243999999999999</v>
      </c>
      <c r="L493" s="1">
        <v>3.8580000000000001</v>
      </c>
      <c r="M493" s="1">
        <v>3.9049999999999998</v>
      </c>
      <c r="N493" s="1">
        <v>3.7480000000000002</v>
      </c>
      <c r="O493" s="1">
        <v>360</v>
      </c>
      <c r="P493" s="1">
        <v>198.3</v>
      </c>
      <c r="Q493" s="1">
        <v>69.5</v>
      </c>
      <c r="R493" s="1">
        <v>17.64</v>
      </c>
      <c r="S493" s="1">
        <v>88.1</v>
      </c>
      <c r="T493" s="1">
        <v>31.16</v>
      </c>
      <c r="U493" s="1">
        <v>1.49</v>
      </c>
      <c r="V493" s="1">
        <v>18</v>
      </c>
    </row>
    <row r="494" spans="2:22">
      <c r="B494" s="1">
        <v>19</v>
      </c>
      <c r="C494" s="1">
        <v>5.5957999999999997</v>
      </c>
      <c r="D494" s="108">
        <f t="shared" si="20"/>
        <v>811.60364040000002</v>
      </c>
      <c r="E494" s="1">
        <v>783.8</v>
      </c>
      <c r="F494" s="1">
        <f t="shared" si="21"/>
        <v>186.56716417910448</v>
      </c>
      <c r="G494" s="1">
        <v>5.3600000000000002E-3</v>
      </c>
      <c r="H494" s="1">
        <v>252.52</v>
      </c>
      <c r="I494" s="1">
        <v>409.89</v>
      </c>
      <c r="J494" s="1">
        <v>1.1769000000000001</v>
      </c>
      <c r="K494" s="1">
        <v>1.7155</v>
      </c>
      <c r="L494" s="1">
        <v>4.0439999999999996</v>
      </c>
      <c r="M494" s="1">
        <v>4.2039999999999997</v>
      </c>
      <c r="N494" s="1">
        <v>3.9790000000000001</v>
      </c>
      <c r="O494" s="1">
        <v>349</v>
      </c>
      <c r="P494" s="1">
        <v>197.2</v>
      </c>
      <c r="Q494" s="1">
        <v>67.8</v>
      </c>
      <c r="R494" s="1">
        <v>17.899999999999999</v>
      </c>
      <c r="S494" s="1">
        <v>86.9</v>
      </c>
      <c r="T494" s="1">
        <v>32.47</v>
      </c>
      <c r="U494" s="1">
        <v>1.35</v>
      </c>
      <c r="V494" s="1">
        <v>19</v>
      </c>
    </row>
    <row r="495" spans="2:22">
      <c r="B495" s="1">
        <v>20</v>
      </c>
      <c r="C495" s="1">
        <v>5.7290999999999999</v>
      </c>
      <c r="D495" s="108">
        <f t="shared" si="20"/>
        <v>830.93720580000002</v>
      </c>
      <c r="E495" s="1">
        <v>773.4</v>
      </c>
      <c r="F495" s="1">
        <f t="shared" si="21"/>
        <v>194.17475728155338</v>
      </c>
      <c r="G495" s="1">
        <v>5.1500000000000001E-3</v>
      </c>
      <c r="H495" s="1">
        <v>255.87</v>
      </c>
      <c r="I495" s="1">
        <v>407.87</v>
      </c>
      <c r="J495" s="1">
        <v>1.1877</v>
      </c>
      <c r="K495" s="1">
        <v>1.7061999999999999</v>
      </c>
      <c r="L495" s="1">
        <v>4.2640000000000002</v>
      </c>
      <c r="M495" s="1">
        <v>4.5599999999999996</v>
      </c>
      <c r="N495" s="1">
        <v>4.2519999999999998</v>
      </c>
      <c r="O495" s="1">
        <v>338</v>
      </c>
      <c r="P495" s="1">
        <v>196.1</v>
      </c>
      <c r="Q495" s="1">
        <v>66.099999999999994</v>
      </c>
      <c r="R495" s="1">
        <v>18.190000000000001</v>
      </c>
      <c r="S495" s="1">
        <v>85.7</v>
      </c>
      <c r="T495" s="1">
        <v>33.94</v>
      </c>
      <c r="U495" s="1">
        <v>1.2</v>
      </c>
      <c r="V495" s="1">
        <v>20</v>
      </c>
    </row>
    <row r="496" spans="2:22">
      <c r="B496" s="1">
        <v>21</v>
      </c>
      <c r="C496" s="1">
        <v>5.8647999999999998</v>
      </c>
      <c r="D496" s="108">
        <f t="shared" si="20"/>
        <v>850.61886240000001</v>
      </c>
      <c r="E496" s="1">
        <v>762.4</v>
      </c>
      <c r="F496" s="1">
        <f t="shared" si="21"/>
        <v>202.42914979757086</v>
      </c>
      <c r="G496" s="1">
        <v>4.9399999999999999E-3</v>
      </c>
      <c r="H496" s="1">
        <v>259.33</v>
      </c>
      <c r="I496" s="1">
        <v>405.67</v>
      </c>
      <c r="J496" s="1">
        <v>1.1989000000000001</v>
      </c>
      <c r="K496" s="1">
        <v>1.6963999999999999</v>
      </c>
      <c r="L496" s="1">
        <v>4.5259999999999998</v>
      </c>
      <c r="M496" s="1">
        <v>4.99</v>
      </c>
      <c r="N496" s="1">
        <v>4.5780000000000003</v>
      </c>
      <c r="O496" s="1">
        <v>326</v>
      </c>
      <c r="P496" s="1">
        <v>194.9</v>
      </c>
      <c r="Q496" s="1">
        <v>64.400000000000006</v>
      </c>
      <c r="R496" s="1">
        <v>18.5</v>
      </c>
      <c r="S496" s="1">
        <v>84.5</v>
      </c>
      <c r="T496" s="1">
        <v>35.61</v>
      </c>
      <c r="U496" s="1">
        <v>1.06</v>
      </c>
      <c r="V496" s="1">
        <v>21</v>
      </c>
    </row>
    <row r="497" spans="1:22">
      <c r="B497" s="1">
        <v>22</v>
      </c>
      <c r="C497" s="1">
        <v>6.0030999999999999</v>
      </c>
      <c r="D497" s="108">
        <f t="shared" si="20"/>
        <v>870.67761780000001</v>
      </c>
      <c r="E497" s="1">
        <v>750.8</v>
      </c>
      <c r="F497" s="1">
        <f t="shared" si="21"/>
        <v>210.97046413502107</v>
      </c>
      <c r="G497" s="1">
        <v>4.7400000000000003E-3</v>
      </c>
      <c r="H497" s="1">
        <v>262.93</v>
      </c>
      <c r="I497" s="1">
        <v>403.26</v>
      </c>
      <c r="J497" s="1">
        <v>1.2104999999999999</v>
      </c>
      <c r="K497" s="1">
        <v>1.6859999999999999</v>
      </c>
      <c r="L497" s="1">
        <v>4.8460000000000001</v>
      </c>
      <c r="M497" s="1">
        <v>5.5190000000000001</v>
      </c>
      <c r="N497" s="1">
        <v>4.976</v>
      </c>
      <c r="O497" s="1">
        <v>314</v>
      </c>
      <c r="P497" s="1">
        <v>193.6</v>
      </c>
      <c r="Q497" s="1">
        <v>62.7</v>
      </c>
      <c r="R497" s="1">
        <v>18.850000000000001</v>
      </c>
      <c r="S497" s="1">
        <v>83.4</v>
      </c>
      <c r="T497" s="1">
        <v>37.520000000000003</v>
      </c>
      <c r="U497" s="1">
        <v>0.93</v>
      </c>
      <c r="V497" s="1">
        <v>22</v>
      </c>
    </row>
    <row r="498" spans="1:22">
      <c r="B498" s="1">
        <v>23</v>
      </c>
      <c r="C498" s="1">
        <v>6.1440000000000001</v>
      </c>
      <c r="D498" s="108">
        <f t="shared" si="20"/>
        <v>891.11347200000012</v>
      </c>
      <c r="E498" s="1">
        <v>738.4</v>
      </c>
      <c r="F498" s="1">
        <f t="shared" si="21"/>
        <v>220.75055187637969</v>
      </c>
      <c r="G498" s="1">
        <v>4.5300000000000002E-3</v>
      </c>
      <c r="H498" s="1">
        <v>266.68</v>
      </c>
      <c r="I498" s="1">
        <v>400.63</v>
      </c>
      <c r="J498" s="1">
        <v>1.2224999999999999</v>
      </c>
      <c r="K498" s="1">
        <v>1.6749000000000001</v>
      </c>
      <c r="L498" s="1">
        <v>5.2480000000000002</v>
      </c>
      <c r="M498" s="1">
        <v>6.1849999999999996</v>
      </c>
      <c r="N498" s="1">
        <v>5.4720000000000004</v>
      </c>
      <c r="O498" s="1">
        <v>302</v>
      </c>
      <c r="P498" s="1">
        <v>192.3</v>
      </c>
      <c r="Q498" s="1">
        <v>60.9</v>
      </c>
      <c r="R498" s="1">
        <v>19.23</v>
      </c>
      <c r="S498" s="1">
        <v>82.4</v>
      </c>
      <c r="T498" s="1">
        <v>39.74</v>
      </c>
      <c r="U498" s="1">
        <v>0.8</v>
      </c>
      <c r="V498" s="1">
        <v>23</v>
      </c>
    </row>
    <row r="499" spans="1:22">
      <c r="B499" s="1">
        <v>24</v>
      </c>
      <c r="C499" s="1">
        <v>6.2877000000000001</v>
      </c>
      <c r="D499" s="108">
        <f t="shared" si="20"/>
        <v>911.95543260000011</v>
      </c>
      <c r="E499" s="1">
        <v>725</v>
      </c>
      <c r="F499" s="1">
        <f t="shared" si="21"/>
        <v>230.94688221709009</v>
      </c>
      <c r="G499" s="1">
        <v>4.3299999999999996E-3</v>
      </c>
      <c r="H499" s="1">
        <v>270.61</v>
      </c>
      <c r="I499" s="1">
        <v>397.7</v>
      </c>
      <c r="J499" s="1">
        <v>1.2352000000000001</v>
      </c>
      <c r="K499" s="1">
        <v>1.6629</v>
      </c>
      <c r="L499" s="1">
        <v>5.7670000000000003</v>
      </c>
      <c r="M499" s="1">
        <v>7.0490000000000004</v>
      </c>
      <c r="N499" s="1">
        <v>6.1070000000000002</v>
      </c>
      <c r="O499" s="1">
        <v>288</v>
      </c>
      <c r="P499" s="1">
        <v>190.8</v>
      </c>
      <c r="Q499" s="1">
        <v>59</v>
      </c>
      <c r="R499" s="1">
        <v>19.66</v>
      </c>
      <c r="S499" s="1">
        <v>81.5</v>
      </c>
      <c r="T499" s="1">
        <v>42.35</v>
      </c>
      <c r="U499" s="1">
        <v>0.67</v>
      </c>
      <c r="V499" s="1">
        <v>24</v>
      </c>
    </row>
    <row r="500" spans="1:22">
      <c r="B500" s="1">
        <v>25</v>
      </c>
      <c r="C500" s="1">
        <v>6.4341999999999997</v>
      </c>
      <c r="D500" s="108">
        <f t="shared" si="20"/>
        <v>933.20349959999999</v>
      </c>
      <c r="E500" s="1">
        <v>710.5</v>
      </c>
      <c r="F500" s="1">
        <f t="shared" si="21"/>
        <v>242.71844660194174</v>
      </c>
      <c r="G500" s="1">
        <v>4.1200000000000004E-3</v>
      </c>
      <c r="H500" s="1">
        <v>274.77999999999997</v>
      </c>
      <c r="I500" s="1">
        <v>394.43</v>
      </c>
      <c r="J500" s="1">
        <v>1.2484999999999999</v>
      </c>
      <c r="K500" s="1">
        <v>1.6497999999999999</v>
      </c>
      <c r="L500" s="1">
        <v>6.4669999999999996</v>
      </c>
      <c r="M500" s="1">
        <v>8.2119999999999997</v>
      </c>
      <c r="N500" s="1">
        <v>6.9489999999999998</v>
      </c>
      <c r="O500" s="1">
        <v>274</v>
      </c>
      <c r="P500" s="1">
        <v>189.1</v>
      </c>
      <c r="Q500" s="1">
        <v>57</v>
      </c>
      <c r="R500" s="1">
        <v>20.16</v>
      </c>
      <c r="S500" s="1">
        <v>80.8</v>
      </c>
      <c r="T500" s="1">
        <v>45.51</v>
      </c>
      <c r="U500" s="1">
        <v>0.55000000000000004</v>
      </c>
      <c r="V500" s="1">
        <v>25</v>
      </c>
    </row>
    <row r="501" spans="1:22">
      <c r="B501" s="1">
        <v>26</v>
      </c>
      <c r="C501" s="1">
        <v>6.5837000000000003</v>
      </c>
      <c r="D501" s="108">
        <f t="shared" si="20"/>
        <v>954.88668060000009</v>
      </c>
      <c r="E501" s="1">
        <v>694.5</v>
      </c>
      <c r="F501" s="1">
        <f t="shared" si="21"/>
        <v>255.7544757033248</v>
      </c>
      <c r="G501" s="1">
        <v>3.9100000000000003E-3</v>
      </c>
      <c r="H501" s="1">
        <v>279.26</v>
      </c>
      <c r="I501" s="1">
        <v>390.71</v>
      </c>
      <c r="J501" s="1">
        <v>1.2626999999999999</v>
      </c>
      <c r="K501" s="1">
        <v>1.6353</v>
      </c>
      <c r="L501" s="1">
        <v>7.46</v>
      </c>
      <c r="M501" s="1">
        <v>9.8620000000000001</v>
      </c>
      <c r="N501" s="1">
        <v>8.1210000000000004</v>
      </c>
      <c r="O501" s="1">
        <v>259</v>
      </c>
      <c r="P501" s="1">
        <v>187.2</v>
      </c>
      <c r="Q501" s="1">
        <v>55</v>
      </c>
      <c r="R501" s="1">
        <v>20.73</v>
      </c>
      <c r="S501" s="1">
        <v>80.5</v>
      </c>
      <c r="T501" s="1">
        <v>49.44</v>
      </c>
      <c r="U501" s="1">
        <v>0.44</v>
      </c>
      <c r="V501" s="1">
        <v>26</v>
      </c>
    </row>
    <row r="502" spans="1:22">
      <c r="B502" s="1">
        <v>27</v>
      </c>
      <c r="C502" s="1">
        <v>6.7361000000000004</v>
      </c>
      <c r="D502" s="108">
        <f t="shared" si="20"/>
        <v>976.99047180000014</v>
      </c>
      <c r="E502" s="1">
        <v>676.4</v>
      </c>
      <c r="F502" s="1">
        <f t="shared" si="21"/>
        <v>271.00271002710025</v>
      </c>
      <c r="G502" s="1">
        <v>3.6900000000000001E-3</v>
      </c>
      <c r="H502" s="1">
        <v>284.14</v>
      </c>
      <c r="I502" s="1">
        <v>386.39</v>
      </c>
      <c r="J502" s="1">
        <v>1.2783</v>
      </c>
      <c r="K502" s="1">
        <v>1.6189</v>
      </c>
      <c r="L502" s="1">
        <v>8.9700000000000006</v>
      </c>
      <c r="M502" s="1">
        <v>12.38</v>
      </c>
      <c r="N502" s="1">
        <v>9.8699999999999992</v>
      </c>
      <c r="O502" s="1">
        <v>243</v>
      </c>
      <c r="P502" s="1">
        <v>185</v>
      </c>
      <c r="Q502" s="1">
        <v>52.8</v>
      </c>
      <c r="R502" s="1">
        <v>21.42</v>
      </c>
      <c r="S502" s="1">
        <v>80.7</v>
      </c>
      <c r="T502" s="1">
        <v>54.56</v>
      </c>
      <c r="U502" s="1">
        <v>0.33</v>
      </c>
      <c r="V502" s="1">
        <v>27</v>
      </c>
    </row>
    <row r="503" spans="1:22">
      <c r="B503" s="1">
        <v>28</v>
      </c>
      <c r="C503" s="1">
        <v>6.8917999999999999</v>
      </c>
      <c r="D503" s="108">
        <f t="shared" si="20"/>
        <v>999.57288840000001</v>
      </c>
      <c r="E503" s="1">
        <v>655.29999999999995</v>
      </c>
      <c r="F503" s="1">
        <f t="shared" si="21"/>
        <v>289.01734104046244</v>
      </c>
      <c r="G503" s="1">
        <v>3.46E-3</v>
      </c>
      <c r="H503" s="1">
        <v>289.62</v>
      </c>
      <c r="I503" s="1">
        <v>381.2</v>
      </c>
      <c r="J503" s="1">
        <v>1.2958000000000001</v>
      </c>
      <c r="K503" s="1">
        <v>1.5999000000000001</v>
      </c>
      <c r="L503" s="1">
        <v>11.55</v>
      </c>
      <c r="M503" s="1">
        <v>16.690000000000001</v>
      </c>
      <c r="N503" s="1">
        <v>12.78</v>
      </c>
      <c r="O503" s="1">
        <v>225</v>
      </c>
      <c r="P503" s="1">
        <v>182.1</v>
      </c>
      <c r="Q503" s="1">
        <v>50.3</v>
      </c>
      <c r="R503" s="1">
        <v>22.27</v>
      </c>
      <c r="S503" s="1">
        <v>81.900000000000006</v>
      </c>
      <c r="T503" s="1">
        <v>61.73</v>
      </c>
      <c r="U503" s="1">
        <v>0.23</v>
      </c>
      <c r="V503" s="1">
        <v>28</v>
      </c>
    </row>
    <row r="504" spans="1:22">
      <c r="B504" s="1">
        <v>29</v>
      </c>
      <c r="C504" s="1">
        <v>7.0509000000000004</v>
      </c>
      <c r="D504" s="108">
        <f t="shared" si="20"/>
        <v>1022.6484342000001</v>
      </c>
      <c r="E504" s="1">
        <v>629.4</v>
      </c>
      <c r="F504" s="1">
        <f t="shared" si="21"/>
        <v>312.5</v>
      </c>
      <c r="G504" s="1">
        <v>3.2000000000000002E-3</v>
      </c>
      <c r="H504" s="1">
        <v>296.07</v>
      </c>
      <c r="I504" s="1">
        <v>374.61</v>
      </c>
      <c r="J504" s="1">
        <v>1.3163</v>
      </c>
      <c r="K504" s="1">
        <v>1.5763</v>
      </c>
      <c r="L504" s="1">
        <v>16.95</v>
      </c>
      <c r="M504" s="1">
        <v>25.74</v>
      </c>
      <c r="N504" s="1">
        <v>18.63</v>
      </c>
      <c r="O504" s="1">
        <v>205</v>
      </c>
      <c r="P504" s="1">
        <v>178.2</v>
      </c>
      <c r="Q504" s="1">
        <v>47.5</v>
      </c>
      <c r="R504" s="1">
        <v>23.41</v>
      </c>
      <c r="S504" s="1">
        <v>85.2</v>
      </c>
      <c r="T504" s="1">
        <v>73.19</v>
      </c>
      <c r="U504" s="1">
        <v>0.13</v>
      </c>
      <c r="V504" s="1">
        <v>29</v>
      </c>
    </row>
    <row r="505" spans="1:22">
      <c r="B505" s="1">
        <v>30</v>
      </c>
      <c r="C505" s="1">
        <v>7.2137000000000002</v>
      </c>
      <c r="D505" s="108">
        <f t="shared" si="20"/>
        <v>1046.2606206</v>
      </c>
      <c r="E505" s="1">
        <v>593.29999999999995</v>
      </c>
      <c r="F505" s="1">
        <f t="shared" si="21"/>
        <v>344.82758620689657</v>
      </c>
      <c r="G505" s="1">
        <v>2.8999999999999998E-3</v>
      </c>
      <c r="H505" s="1">
        <v>304.55</v>
      </c>
      <c r="I505" s="1">
        <v>365.13</v>
      </c>
      <c r="J505" s="1">
        <v>1.3434999999999999</v>
      </c>
      <c r="K505" s="1">
        <v>1.5432999999999999</v>
      </c>
      <c r="L505" s="1">
        <v>35.340000000000003</v>
      </c>
      <c r="M505" s="1">
        <v>55.82</v>
      </c>
      <c r="N505" s="1">
        <v>36.659999999999997</v>
      </c>
      <c r="O505" s="1">
        <v>177</v>
      </c>
      <c r="P505" s="1">
        <v>171.3</v>
      </c>
      <c r="Q505" s="1">
        <v>43.8</v>
      </c>
      <c r="R505" s="1">
        <v>25.17</v>
      </c>
      <c r="S505" s="1">
        <v>95.4</v>
      </c>
      <c r="T505" s="1">
        <v>98.02</v>
      </c>
      <c r="U505" s="1">
        <v>0.05</v>
      </c>
      <c r="V505" s="1">
        <v>30</v>
      </c>
    </row>
    <row r="506" spans="1:22">
      <c r="B506" s="1" t="s">
        <v>444</v>
      </c>
      <c r="C506" s="1">
        <v>7.3773</v>
      </c>
      <c r="D506" s="108">
        <f t="shared" si="20"/>
        <v>1069.9888374</v>
      </c>
      <c r="E506" s="1">
        <v>467.6</v>
      </c>
      <c r="F506" s="1">
        <f t="shared" si="21"/>
        <v>467.28971962616822</v>
      </c>
      <c r="G506" s="1">
        <v>2.14E-3</v>
      </c>
      <c r="H506" s="1">
        <v>332.25</v>
      </c>
      <c r="I506" s="1">
        <v>332.25</v>
      </c>
      <c r="J506" s="1">
        <v>1.4336</v>
      </c>
      <c r="K506" s="1">
        <v>1.4336</v>
      </c>
      <c r="L506" s="1" t="s">
        <v>310</v>
      </c>
      <c r="M506" s="1" t="s">
        <v>310</v>
      </c>
      <c r="N506" s="1" t="s">
        <v>310</v>
      </c>
      <c r="O506" s="1">
        <v>0</v>
      </c>
      <c r="P506" s="1">
        <v>0</v>
      </c>
      <c r="Q506" s="1" t="s">
        <v>311</v>
      </c>
      <c r="R506" s="1" t="s">
        <v>311</v>
      </c>
      <c r="S506" s="1" t="s">
        <v>310</v>
      </c>
      <c r="T506" s="1" t="s">
        <v>310</v>
      </c>
      <c r="U506" s="1">
        <v>0</v>
      </c>
      <c r="V506" s="1">
        <v>30.98</v>
      </c>
    </row>
    <row r="507" spans="1:22">
      <c r="D507" s="108"/>
    </row>
    <row r="508" spans="1:22">
      <c r="D508" s="108"/>
    </row>
    <row r="509" spans="1:22">
      <c r="D509" s="108"/>
    </row>
    <row r="510" spans="1:22">
      <c r="A510" t="s">
        <v>270</v>
      </c>
      <c r="D510" s="108"/>
    </row>
    <row r="511" spans="1:22">
      <c r="B511" s="1" t="s">
        <v>445</v>
      </c>
      <c r="C511" s="1">
        <v>1.0000000000000001E-5</v>
      </c>
      <c r="D511" s="108">
        <f t="shared" si="20"/>
        <v>1.4503800000000002E-3</v>
      </c>
      <c r="E511" s="1">
        <v>694.6</v>
      </c>
      <c r="F511" s="1">
        <f t="shared" si="21"/>
        <v>2.3167454360114911E-4</v>
      </c>
      <c r="G511" s="1">
        <v>4316.3999999999996</v>
      </c>
      <c r="H511" s="1" t="s">
        <v>446</v>
      </c>
      <c r="I511" s="1">
        <v>402.06</v>
      </c>
      <c r="J511" s="1" t="s">
        <v>447</v>
      </c>
      <c r="K511" s="1">
        <v>3.5796000000000001</v>
      </c>
      <c r="L511" s="1">
        <v>1.962</v>
      </c>
      <c r="M511" s="1">
        <v>1.02</v>
      </c>
      <c r="N511" s="1">
        <v>1.2270000000000001</v>
      </c>
      <c r="O511" s="1">
        <v>1880</v>
      </c>
      <c r="P511" s="1">
        <v>168.8</v>
      </c>
      <c r="Q511" s="1">
        <v>1343</v>
      </c>
      <c r="R511" s="1">
        <v>3.55</v>
      </c>
      <c r="S511" s="1">
        <v>192.9</v>
      </c>
      <c r="T511" s="1">
        <v>3.68</v>
      </c>
      <c r="U511" s="1">
        <v>31.84</v>
      </c>
      <c r="V511" s="1" t="s">
        <v>445</v>
      </c>
    </row>
    <row r="512" spans="1:22">
      <c r="B512" s="1" t="s">
        <v>448</v>
      </c>
      <c r="C512" s="1">
        <v>3.0000000000000001E-5</v>
      </c>
      <c r="D512" s="108">
        <f t="shared" si="20"/>
        <v>4.3511400000000007E-3</v>
      </c>
      <c r="E512" s="1">
        <v>684.5</v>
      </c>
      <c r="F512" s="1">
        <f t="shared" si="21"/>
        <v>1.15675137942602E-3</v>
      </c>
      <c r="G512" s="1">
        <v>864.49</v>
      </c>
      <c r="H512" s="1" t="s">
        <v>449</v>
      </c>
      <c r="I512" s="1">
        <v>412.43</v>
      </c>
      <c r="J512" s="1" t="s">
        <v>450</v>
      </c>
      <c r="K512" s="1">
        <v>3.3426</v>
      </c>
      <c r="L512" s="1">
        <v>1.9770000000000001</v>
      </c>
      <c r="M512" s="1">
        <v>1.054</v>
      </c>
      <c r="N512" s="1">
        <v>1.218</v>
      </c>
      <c r="O512" s="1">
        <v>1813</v>
      </c>
      <c r="P512" s="1">
        <v>174.9</v>
      </c>
      <c r="Q512" s="1">
        <v>985.4</v>
      </c>
      <c r="R512" s="1">
        <v>3.8</v>
      </c>
      <c r="S512" s="1">
        <v>187.7</v>
      </c>
      <c r="T512" s="1">
        <v>4.28</v>
      </c>
      <c r="U512" s="1">
        <v>30.29</v>
      </c>
      <c r="V512" s="1" t="s">
        <v>448</v>
      </c>
    </row>
    <row r="513" spans="2:22">
      <c r="B513" s="1" t="s">
        <v>451</v>
      </c>
      <c r="C513" s="1">
        <v>1.2E-4</v>
      </c>
      <c r="D513" s="108">
        <f t="shared" si="20"/>
        <v>1.7404560000000003E-2</v>
      </c>
      <c r="E513" s="1">
        <v>674.4</v>
      </c>
      <c r="F513" s="1">
        <f t="shared" si="21"/>
        <v>4.4736724377041114E-3</v>
      </c>
      <c r="G513" s="1">
        <v>223.53</v>
      </c>
      <c r="H513" s="1" t="s">
        <v>452</v>
      </c>
      <c r="I513" s="1">
        <v>423.12</v>
      </c>
      <c r="J513" s="1" t="s">
        <v>453</v>
      </c>
      <c r="K513" s="1">
        <v>3.1514000000000002</v>
      </c>
      <c r="L513" s="1">
        <v>1.994</v>
      </c>
      <c r="M513" s="1">
        <v>1.087</v>
      </c>
      <c r="N513" s="1">
        <v>1.21</v>
      </c>
      <c r="O513" s="1">
        <v>1745</v>
      </c>
      <c r="P513" s="1">
        <v>180.7</v>
      </c>
      <c r="Q513" s="1">
        <v>761.7</v>
      </c>
      <c r="R513" s="1">
        <v>4.05</v>
      </c>
      <c r="S513" s="1">
        <v>182.2</v>
      </c>
      <c r="T513" s="1">
        <v>4.9000000000000004</v>
      </c>
      <c r="U513" s="1">
        <v>28.76</v>
      </c>
      <c r="V513" s="1" t="s">
        <v>451</v>
      </c>
    </row>
    <row r="514" spans="2:22">
      <c r="B514" s="1" t="s">
        <v>454</v>
      </c>
      <c r="C514" s="1">
        <v>4.0999999999999999E-4</v>
      </c>
      <c r="D514" s="108">
        <f t="shared" si="20"/>
        <v>5.9465580000000004E-2</v>
      </c>
      <c r="E514" s="1">
        <v>664.3</v>
      </c>
      <c r="F514" s="1">
        <f t="shared" si="21"/>
        <v>1.4127286854559582E-2</v>
      </c>
      <c r="G514" s="1">
        <v>70.784999999999997</v>
      </c>
      <c r="H514" s="1" t="s">
        <v>455</v>
      </c>
      <c r="I514" s="1">
        <v>434.11</v>
      </c>
      <c r="J514" s="1" t="s">
        <v>456</v>
      </c>
      <c r="K514" s="1">
        <v>2.9962</v>
      </c>
      <c r="L514" s="1">
        <v>2.012</v>
      </c>
      <c r="M514" s="1">
        <v>1.119</v>
      </c>
      <c r="N514" s="1">
        <v>1.2030000000000001</v>
      </c>
      <c r="O514" s="1">
        <v>1679</v>
      </c>
      <c r="P514" s="1">
        <v>186.3</v>
      </c>
      <c r="Q514" s="1">
        <v>611.6</v>
      </c>
      <c r="R514" s="1">
        <v>4.3099999999999996</v>
      </c>
      <c r="S514" s="1">
        <v>176.4</v>
      </c>
      <c r="T514" s="1">
        <v>5.55</v>
      </c>
      <c r="U514" s="1">
        <v>27.24</v>
      </c>
      <c r="V514" s="1" t="s">
        <v>454</v>
      </c>
    </row>
    <row r="515" spans="2:22">
      <c r="B515" s="1" t="s">
        <v>457</v>
      </c>
      <c r="C515" s="1">
        <v>1.16E-3</v>
      </c>
      <c r="D515" s="108">
        <f t="shared" si="20"/>
        <v>0.16824408000000002</v>
      </c>
      <c r="E515" s="1">
        <v>654</v>
      </c>
      <c r="F515" s="1">
        <f t="shared" si="21"/>
        <v>3.7898885772758281E-2</v>
      </c>
      <c r="G515" s="1">
        <v>26.385999999999999</v>
      </c>
      <c r="H515" s="1" t="s">
        <v>458</v>
      </c>
      <c r="I515" s="1">
        <v>445.38</v>
      </c>
      <c r="J515" s="1" t="s">
        <v>459</v>
      </c>
      <c r="K515" s="1">
        <v>2.8696999999999999</v>
      </c>
      <c r="L515" s="1">
        <v>2.032</v>
      </c>
      <c r="M515" s="1">
        <v>1.151</v>
      </c>
      <c r="N515" s="1">
        <v>1.1970000000000001</v>
      </c>
      <c r="O515" s="1">
        <v>1612</v>
      </c>
      <c r="P515" s="1">
        <v>191.7</v>
      </c>
      <c r="Q515" s="1">
        <v>505</v>
      </c>
      <c r="R515" s="1">
        <v>4.5599999999999996</v>
      </c>
      <c r="S515" s="1">
        <v>170.4</v>
      </c>
      <c r="T515" s="1">
        <v>6.23</v>
      </c>
      <c r="U515" s="1">
        <v>25.73</v>
      </c>
      <c r="V515" s="1" t="s">
        <v>457</v>
      </c>
    </row>
    <row r="516" spans="2:22">
      <c r="B516" s="1" t="s">
        <v>279</v>
      </c>
      <c r="C516" s="1">
        <v>2.8999999999999998E-3</v>
      </c>
      <c r="D516" s="108">
        <f t="shared" si="20"/>
        <v>0.42061019999999999</v>
      </c>
      <c r="E516" s="1">
        <v>643.70000000000005</v>
      </c>
      <c r="F516" s="1">
        <f t="shared" si="21"/>
        <v>8.9039266316445556E-2</v>
      </c>
      <c r="G516" s="1">
        <v>11.231</v>
      </c>
      <c r="H516" s="1" t="s">
        <v>460</v>
      </c>
      <c r="I516" s="1">
        <v>456.88</v>
      </c>
      <c r="J516" s="1" t="s">
        <v>461</v>
      </c>
      <c r="K516" s="1">
        <v>2.7664</v>
      </c>
      <c r="L516" s="1">
        <v>2.0539999999999998</v>
      </c>
      <c r="M516" s="1">
        <v>1.1839999999999999</v>
      </c>
      <c r="N516" s="1">
        <v>1.1919999999999999</v>
      </c>
      <c r="O516" s="1">
        <v>1545</v>
      </c>
      <c r="P516" s="1">
        <v>196.8</v>
      </c>
      <c r="Q516" s="1">
        <v>425.7</v>
      </c>
      <c r="R516" s="1">
        <v>4.82</v>
      </c>
      <c r="S516" s="1">
        <v>164.4</v>
      </c>
      <c r="T516" s="1">
        <v>6.94</v>
      </c>
      <c r="U516" s="1">
        <v>24.23</v>
      </c>
      <c r="V516" s="1" t="s">
        <v>279</v>
      </c>
    </row>
    <row r="517" spans="2:22">
      <c r="B517" s="1" t="s">
        <v>280</v>
      </c>
      <c r="C517" s="1">
        <v>6.45E-3</v>
      </c>
      <c r="D517" s="108">
        <f t="shared" si="20"/>
        <v>0.93549510000000002</v>
      </c>
      <c r="E517" s="1">
        <v>633.29999999999995</v>
      </c>
      <c r="F517" s="1">
        <f t="shared" si="21"/>
        <v>0.18761726078799248</v>
      </c>
      <c r="G517" s="1">
        <v>5.33</v>
      </c>
      <c r="H517" s="1" t="s">
        <v>462</v>
      </c>
      <c r="I517" s="1">
        <v>468.58</v>
      </c>
      <c r="J517" s="1">
        <v>0.1077</v>
      </c>
      <c r="K517" s="1">
        <v>2.6819999999999999</v>
      </c>
      <c r="L517" s="1">
        <v>2.0779999999999998</v>
      </c>
      <c r="M517" s="1">
        <v>1.22</v>
      </c>
      <c r="N517" s="1">
        <v>1.1879999999999999</v>
      </c>
      <c r="O517" s="1">
        <v>1478</v>
      </c>
      <c r="P517" s="1">
        <v>201.5</v>
      </c>
      <c r="Q517" s="1">
        <v>364.5</v>
      </c>
      <c r="R517" s="1">
        <v>5.08</v>
      </c>
      <c r="S517" s="1">
        <v>158.19999999999999</v>
      </c>
      <c r="T517" s="1">
        <v>7.67</v>
      </c>
      <c r="U517" s="1">
        <v>22.74</v>
      </c>
      <c r="V517" s="1" t="s">
        <v>280</v>
      </c>
    </row>
    <row r="518" spans="2:22">
      <c r="B518" s="1" t="s">
        <v>281</v>
      </c>
      <c r="C518" s="1">
        <v>1.3050000000000001E-2</v>
      </c>
      <c r="D518" s="108">
        <f t="shared" si="20"/>
        <v>1.8927459000000002</v>
      </c>
      <c r="E518" s="1">
        <v>622.79999999999995</v>
      </c>
      <c r="F518" s="1">
        <f t="shared" si="21"/>
        <v>0.36132389073565546</v>
      </c>
      <c r="G518" s="1">
        <v>2.7675999999999998</v>
      </c>
      <c r="H518" s="1">
        <v>18.03</v>
      </c>
      <c r="I518" s="1">
        <v>480.44</v>
      </c>
      <c r="J518" s="1">
        <v>0.21890000000000001</v>
      </c>
      <c r="K518" s="1">
        <v>2.613</v>
      </c>
      <c r="L518" s="1">
        <v>2.1059999999999999</v>
      </c>
      <c r="M518" s="1">
        <v>1.258</v>
      </c>
      <c r="N518" s="1">
        <v>1.1839999999999999</v>
      </c>
      <c r="O518" s="1">
        <v>1411</v>
      </c>
      <c r="P518" s="1">
        <v>205.9</v>
      </c>
      <c r="Q518" s="1">
        <v>315.89999999999998</v>
      </c>
      <c r="R518" s="1">
        <v>5.34</v>
      </c>
      <c r="S518" s="1">
        <v>152.1</v>
      </c>
      <c r="T518" s="1">
        <v>8.43</v>
      </c>
      <c r="U518" s="1">
        <v>21.27</v>
      </c>
      <c r="V518" s="1" t="s">
        <v>281</v>
      </c>
    </row>
    <row r="519" spans="2:22">
      <c r="B519" s="1" t="s">
        <v>282</v>
      </c>
      <c r="C519" s="1">
        <v>2.4400000000000002E-2</v>
      </c>
      <c r="D519" s="108">
        <f t="shared" si="20"/>
        <v>3.5389272000000003</v>
      </c>
      <c r="E519" s="1">
        <v>612</v>
      </c>
      <c r="F519" s="1">
        <f t="shared" si="21"/>
        <v>0.64570284754955776</v>
      </c>
      <c r="G519" s="1">
        <v>1.5487</v>
      </c>
      <c r="H519" s="1">
        <v>39.25</v>
      </c>
      <c r="I519" s="1">
        <v>492.41</v>
      </c>
      <c r="J519" s="1">
        <v>0.32590000000000002</v>
      </c>
      <c r="K519" s="1">
        <v>2.5566</v>
      </c>
      <c r="L519" s="1">
        <v>2.137</v>
      </c>
      <c r="M519" s="1">
        <v>1.3</v>
      </c>
      <c r="N519" s="1">
        <v>1.1819999999999999</v>
      </c>
      <c r="O519" s="1">
        <v>1345</v>
      </c>
      <c r="P519" s="1">
        <v>209.9</v>
      </c>
      <c r="Q519" s="1">
        <v>276.39999999999998</v>
      </c>
      <c r="R519" s="1">
        <v>5.6</v>
      </c>
      <c r="S519" s="1">
        <v>145.9</v>
      </c>
      <c r="T519" s="1">
        <v>9.2200000000000006</v>
      </c>
      <c r="U519" s="1">
        <v>19.809999999999999</v>
      </c>
      <c r="V519" s="1" t="s">
        <v>282</v>
      </c>
    </row>
    <row r="520" spans="2:22">
      <c r="B520" s="1" t="s">
        <v>283</v>
      </c>
      <c r="C520" s="1">
        <v>4.2689999999999999E-2</v>
      </c>
      <c r="D520" s="108">
        <f t="shared" si="20"/>
        <v>6.1916722200000001</v>
      </c>
      <c r="E520" s="1">
        <v>601.1</v>
      </c>
      <c r="F520" s="1">
        <f t="shared" si="21"/>
        <v>1.0840108401084012</v>
      </c>
      <c r="G520" s="1">
        <v>0.92249999999999999</v>
      </c>
      <c r="H520" s="1">
        <v>60.81</v>
      </c>
      <c r="I520" s="1">
        <v>504.44</v>
      </c>
      <c r="J520" s="1">
        <v>0.4294</v>
      </c>
      <c r="K520" s="1">
        <v>2.5106999999999999</v>
      </c>
      <c r="L520" s="1">
        <v>2.1720000000000002</v>
      </c>
      <c r="M520" s="1">
        <v>1.3460000000000001</v>
      </c>
      <c r="N520" s="1">
        <v>1.181</v>
      </c>
      <c r="O520" s="1">
        <v>1278</v>
      </c>
      <c r="P520" s="1">
        <v>213.5</v>
      </c>
      <c r="Q520" s="1">
        <v>243.6</v>
      </c>
      <c r="R520" s="1">
        <v>5.85</v>
      </c>
      <c r="S520" s="1">
        <v>139.80000000000001</v>
      </c>
      <c r="T520" s="1">
        <v>10.039999999999999</v>
      </c>
      <c r="U520" s="1">
        <v>18.37</v>
      </c>
      <c r="V520" s="1" t="s">
        <v>283</v>
      </c>
    </row>
    <row r="521" spans="2:22">
      <c r="B521" s="1" t="s">
        <v>284</v>
      </c>
      <c r="C521" s="1">
        <v>7.0569999999999994E-2</v>
      </c>
      <c r="D521" s="108">
        <f t="shared" ref="D521:D578" si="22">C521*145.038</f>
        <v>10.23533166</v>
      </c>
      <c r="E521" s="1">
        <v>589.9</v>
      </c>
      <c r="F521" s="1">
        <f t="shared" ref="F521:F578" si="23">1/G521</f>
        <v>1.7269665831966152</v>
      </c>
      <c r="G521" s="1">
        <v>0.57904999999999995</v>
      </c>
      <c r="H521" s="1">
        <v>82.75</v>
      </c>
      <c r="I521" s="1">
        <v>516.48</v>
      </c>
      <c r="J521" s="1">
        <v>0.52980000000000005</v>
      </c>
      <c r="K521" s="1">
        <v>2.4733999999999998</v>
      </c>
      <c r="L521" s="1">
        <v>2.2120000000000002</v>
      </c>
      <c r="M521" s="1">
        <v>1.397</v>
      </c>
      <c r="N521" s="1">
        <v>1.1819999999999999</v>
      </c>
      <c r="O521" s="1">
        <v>1213</v>
      </c>
      <c r="P521" s="1">
        <v>216.5</v>
      </c>
      <c r="Q521" s="1">
        <v>216</v>
      </c>
      <c r="R521" s="1">
        <v>6.11</v>
      </c>
      <c r="S521" s="1">
        <v>133.80000000000001</v>
      </c>
      <c r="T521" s="1">
        <v>10.88</v>
      </c>
      <c r="U521" s="1">
        <v>16.940000000000001</v>
      </c>
      <c r="V521" s="1" t="s">
        <v>284</v>
      </c>
    </row>
    <row r="522" spans="2:22">
      <c r="B522" s="1" t="s">
        <v>463</v>
      </c>
      <c r="C522" s="1">
        <v>0.10133</v>
      </c>
      <c r="D522" s="108">
        <f t="shared" si="22"/>
        <v>14.696700540000002</v>
      </c>
      <c r="E522" s="1">
        <v>580.9</v>
      </c>
      <c r="F522" s="1">
        <f t="shared" si="23"/>
        <v>2.4161592732192902</v>
      </c>
      <c r="G522" s="1">
        <v>0.41388000000000003</v>
      </c>
      <c r="H522" s="1">
        <v>100.36</v>
      </c>
      <c r="I522" s="1">
        <v>525.95000000000005</v>
      </c>
      <c r="J522" s="1">
        <v>0.60699999999999998</v>
      </c>
      <c r="K522" s="1">
        <v>2.4491000000000001</v>
      </c>
      <c r="L522" s="1">
        <v>2.246</v>
      </c>
      <c r="M522" s="1">
        <v>1.44</v>
      </c>
      <c r="N522" s="1">
        <v>1.1830000000000001</v>
      </c>
      <c r="O522" s="1">
        <v>1161</v>
      </c>
      <c r="P522" s="1">
        <v>218.4</v>
      </c>
      <c r="Q522" s="1">
        <v>197.2</v>
      </c>
      <c r="R522" s="1">
        <v>6.31</v>
      </c>
      <c r="S522" s="1">
        <v>129.19999999999999</v>
      </c>
      <c r="T522" s="1">
        <v>11.57</v>
      </c>
      <c r="U522" s="1">
        <v>15.83</v>
      </c>
      <c r="V522" s="1" t="s">
        <v>464</v>
      </c>
    </row>
    <row r="523" spans="2:22">
      <c r="B523" s="1" t="s">
        <v>290</v>
      </c>
      <c r="C523" s="1">
        <v>0.11112</v>
      </c>
      <c r="D523" s="108">
        <f t="shared" si="22"/>
        <v>16.11662256</v>
      </c>
      <c r="E523" s="1">
        <v>578.4</v>
      </c>
      <c r="F523" s="1">
        <f t="shared" si="23"/>
        <v>2.6326181387389758</v>
      </c>
      <c r="G523" s="1">
        <v>0.37985000000000002</v>
      </c>
      <c r="H523" s="1">
        <v>105.12</v>
      </c>
      <c r="I523" s="1">
        <v>528.48</v>
      </c>
      <c r="J523" s="1">
        <v>0.62749999999999995</v>
      </c>
      <c r="K523" s="1">
        <v>2.4432999999999998</v>
      </c>
      <c r="L523" s="1">
        <v>2.2559999999999998</v>
      </c>
      <c r="M523" s="1">
        <v>1.4530000000000001</v>
      </c>
      <c r="N523" s="1">
        <v>1.1839999999999999</v>
      </c>
      <c r="O523" s="1">
        <v>1147</v>
      </c>
      <c r="P523" s="1">
        <v>218.9</v>
      </c>
      <c r="Q523" s="1">
        <v>192.6</v>
      </c>
      <c r="R523" s="1">
        <v>6.36</v>
      </c>
      <c r="S523" s="1">
        <v>128</v>
      </c>
      <c r="T523" s="1">
        <v>11.76</v>
      </c>
      <c r="U523" s="1">
        <v>15.54</v>
      </c>
      <c r="V523" s="1" t="s">
        <v>290</v>
      </c>
    </row>
    <row r="524" spans="2:22">
      <c r="B524" s="1" t="s">
        <v>291</v>
      </c>
      <c r="C524" s="1">
        <v>0.12105</v>
      </c>
      <c r="D524" s="108">
        <f t="shared" si="22"/>
        <v>17.556849900000003</v>
      </c>
      <c r="E524" s="1">
        <v>576.1</v>
      </c>
      <c r="F524" s="1">
        <f t="shared" si="23"/>
        <v>2.8509522180408253</v>
      </c>
      <c r="G524" s="1">
        <v>0.35076000000000002</v>
      </c>
      <c r="H524" s="1">
        <v>109.65</v>
      </c>
      <c r="I524" s="1">
        <v>530.87</v>
      </c>
      <c r="J524" s="1">
        <v>0.64680000000000004</v>
      </c>
      <c r="K524" s="1">
        <v>2.4380000000000002</v>
      </c>
      <c r="L524" s="1">
        <v>2.2650000000000001</v>
      </c>
      <c r="M524" s="1">
        <v>1.464</v>
      </c>
      <c r="N524" s="1">
        <v>1.1850000000000001</v>
      </c>
      <c r="O524" s="1">
        <v>1134</v>
      </c>
      <c r="P524" s="1">
        <v>219.3</v>
      </c>
      <c r="Q524" s="1">
        <v>188.3</v>
      </c>
      <c r="R524" s="1">
        <v>6.41</v>
      </c>
      <c r="S524" s="1">
        <v>126.8</v>
      </c>
      <c r="T524" s="1">
        <v>11.94</v>
      </c>
      <c r="U524" s="1">
        <v>15.26</v>
      </c>
      <c r="V524" s="1" t="s">
        <v>291</v>
      </c>
    </row>
    <row r="525" spans="2:22">
      <c r="B525" s="1" t="s">
        <v>292</v>
      </c>
      <c r="C525" s="1">
        <v>0.13166</v>
      </c>
      <c r="D525" s="108">
        <f t="shared" si="22"/>
        <v>19.09570308</v>
      </c>
      <c r="E525" s="1">
        <v>573.79999999999995</v>
      </c>
      <c r="F525" s="1">
        <f t="shared" si="23"/>
        <v>3.0828991583685297</v>
      </c>
      <c r="G525" s="1">
        <v>0.32436999999999999</v>
      </c>
      <c r="H525" s="1">
        <v>114.2</v>
      </c>
      <c r="I525" s="1">
        <v>533.26</v>
      </c>
      <c r="J525" s="1">
        <v>0.66600000000000004</v>
      </c>
      <c r="K525" s="1">
        <v>2.4329999999999998</v>
      </c>
      <c r="L525" s="1">
        <v>2.2749999999999999</v>
      </c>
      <c r="M525" s="1">
        <v>1.476</v>
      </c>
      <c r="N525" s="1">
        <v>1.1850000000000001</v>
      </c>
      <c r="O525" s="1">
        <v>1121</v>
      </c>
      <c r="P525" s="1">
        <v>219.6</v>
      </c>
      <c r="Q525" s="1">
        <v>184.1</v>
      </c>
      <c r="R525" s="1">
        <v>6.47</v>
      </c>
      <c r="S525" s="1">
        <v>125.6</v>
      </c>
      <c r="T525" s="1">
        <v>12.12</v>
      </c>
      <c r="U525" s="1">
        <v>14.98</v>
      </c>
      <c r="V525" s="1" t="s">
        <v>292</v>
      </c>
    </row>
    <row r="526" spans="2:22">
      <c r="B526" s="1" t="s">
        <v>293</v>
      </c>
      <c r="C526" s="1">
        <v>0.14297000000000001</v>
      </c>
      <c r="D526" s="108">
        <f t="shared" si="22"/>
        <v>20.736082860000003</v>
      </c>
      <c r="E526" s="1">
        <v>571.4</v>
      </c>
      <c r="F526" s="1">
        <f t="shared" si="23"/>
        <v>3.3292272863468386</v>
      </c>
      <c r="G526" s="1">
        <v>0.30037000000000003</v>
      </c>
      <c r="H526" s="1">
        <v>118.77</v>
      </c>
      <c r="I526" s="1">
        <v>535.64</v>
      </c>
      <c r="J526" s="1">
        <v>0.68510000000000004</v>
      </c>
      <c r="K526" s="1">
        <v>2.4281999999999999</v>
      </c>
      <c r="L526" s="1">
        <v>2.2850000000000001</v>
      </c>
      <c r="M526" s="1">
        <v>1.488</v>
      </c>
      <c r="N526" s="1">
        <v>1.1859999999999999</v>
      </c>
      <c r="O526" s="1">
        <v>1108</v>
      </c>
      <c r="P526" s="1">
        <v>220</v>
      </c>
      <c r="Q526" s="1">
        <v>180.1</v>
      </c>
      <c r="R526" s="1">
        <v>6.52</v>
      </c>
      <c r="S526" s="1">
        <v>124.5</v>
      </c>
      <c r="T526" s="1">
        <v>12.3</v>
      </c>
      <c r="U526" s="1">
        <v>14.7</v>
      </c>
      <c r="V526" s="1" t="s">
        <v>293</v>
      </c>
    </row>
    <row r="527" spans="2:22">
      <c r="B527" s="1" t="s">
        <v>294</v>
      </c>
      <c r="C527" s="1">
        <v>0.15501999999999999</v>
      </c>
      <c r="D527" s="108">
        <f t="shared" si="22"/>
        <v>22.483790760000002</v>
      </c>
      <c r="E527" s="1">
        <v>569</v>
      </c>
      <c r="F527" s="1">
        <f t="shared" si="23"/>
        <v>3.5902775284529493</v>
      </c>
      <c r="G527" s="1">
        <v>0.27853</v>
      </c>
      <c r="H527" s="1">
        <v>123.36</v>
      </c>
      <c r="I527" s="1">
        <v>538.01</v>
      </c>
      <c r="J527" s="1">
        <v>0.70409999999999995</v>
      </c>
      <c r="K527" s="1">
        <v>2.4236</v>
      </c>
      <c r="L527" s="1">
        <v>2.2949999999999999</v>
      </c>
      <c r="M527" s="1">
        <v>1.5009999999999999</v>
      </c>
      <c r="N527" s="1">
        <v>1.1870000000000001</v>
      </c>
      <c r="O527" s="1">
        <v>1095</v>
      </c>
      <c r="P527" s="1">
        <v>220.3</v>
      </c>
      <c r="Q527" s="1">
        <v>176.1</v>
      </c>
      <c r="R527" s="1">
        <v>6.57</v>
      </c>
      <c r="S527" s="1">
        <v>123.3</v>
      </c>
      <c r="T527" s="1">
        <v>12.48</v>
      </c>
      <c r="U527" s="1">
        <v>14.42</v>
      </c>
      <c r="V527" s="1" t="s">
        <v>294</v>
      </c>
    </row>
    <row r="528" spans="2:22">
      <c r="B528" s="1" t="s">
        <v>295</v>
      </c>
      <c r="C528" s="1">
        <v>0.16783000000000001</v>
      </c>
      <c r="D528" s="108">
        <f t="shared" si="22"/>
        <v>24.341727540000004</v>
      </c>
      <c r="E528" s="1">
        <v>566.6</v>
      </c>
      <c r="F528" s="1">
        <f t="shared" si="23"/>
        <v>3.8668264954951472</v>
      </c>
      <c r="G528" s="1">
        <v>0.25861000000000001</v>
      </c>
      <c r="H528" s="1">
        <v>127.97</v>
      </c>
      <c r="I528" s="1">
        <v>540.38</v>
      </c>
      <c r="J528" s="1">
        <v>0.72309999999999997</v>
      </c>
      <c r="K528" s="1">
        <v>2.4192</v>
      </c>
      <c r="L528" s="1">
        <v>2.3050000000000002</v>
      </c>
      <c r="M528" s="1">
        <v>1.5129999999999999</v>
      </c>
      <c r="N528" s="1">
        <v>1.1879999999999999</v>
      </c>
      <c r="O528" s="1">
        <v>1082</v>
      </c>
      <c r="P528" s="1">
        <v>220.6</v>
      </c>
      <c r="Q528" s="1">
        <v>172.3</v>
      </c>
      <c r="R528" s="1">
        <v>6.62</v>
      </c>
      <c r="S528" s="1">
        <v>122.2</v>
      </c>
      <c r="T528" s="1">
        <v>12.67</v>
      </c>
      <c r="U528" s="1">
        <v>14.15</v>
      </c>
      <c r="V528" s="1" t="s">
        <v>295</v>
      </c>
    </row>
    <row r="529" spans="2:22">
      <c r="B529" s="1" t="s">
        <v>296</v>
      </c>
      <c r="C529" s="1">
        <v>0.18143999999999999</v>
      </c>
      <c r="D529" s="108">
        <f t="shared" si="22"/>
        <v>26.31569472</v>
      </c>
      <c r="E529" s="1">
        <v>564.20000000000005</v>
      </c>
      <c r="F529" s="1">
        <f t="shared" si="23"/>
        <v>4.1595607503847596</v>
      </c>
      <c r="G529" s="1">
        <v>0.24041000000000001</v>
      </c>
      <c r="H529" s="1">
        <v>132.61000000000001</v>
      </c>
      <c r="I529" s="1">
        <v>542.75</v>
      </c>
      <c r="J529" s="1">
        <v>0.7419</v>
      </c>
      <c r="K529" s="1">
        <v>2.415</v>
      </c>
      <c r="L529" s="1">
        <v>2.3159999999999998</v>
      </c>
      <c r="M529" s="1">
        <v>1.526</v>
      </c>
      <c r="N529" s="1">
        <v>1.1890000000000001</v>
      </c>
      <c r="O529" s="1">
        <v>1069</v>
      </c>
      <c r="P529" s="1">
        <v>220.9</v>
      </c>
      <c r="Q529" s="1">
        <v>168.6</v>
      </c>
      <c r="R529" s="1">
        <v>6.67</v>
      </c>
      <c r="S529" s="1">
        <v>121.1</v>
      </c>
      <c r="T529" s="1">
        <v>12.86</v>
      </c>
      <c r="U529" s="1">
        <v>13.87</v>
      </c>
      <c r="V529" s="1" t="s">
        <v>296</v>
      </c>
    </row>
    <row r="530" spans="2:22">
      <c r="B530" s="1" t="s">
        <v>297</v>
      </c>
      <c r="C530" s="1">
        <v>0.19589000000000001</v>
      </c>
      <c r="D530" s="108">
        <f t="shared" si="22"/>
        <v>28.411493820000004</v>
      </c>
      <c r="E530" s="1">
        <v>561.79999999999995</v>
      </c>
      <c r="F530" s="1">
        <f t="shared" si="23"/>
        <v>4.4690740078655704</v>
      </c>
      <c r="G530" s="1">
        <v>0.22375999999999999</v>
      </c>
      <c r="H530" s="1">
        <v>137.26</v>
      </c>
      <c r="I530" s="1">
        <v>545.11</v>
      </c>
      <c r="J530" s="1">
        <v>0.76070000000000004</v>
      </c>
      <c r="K530" s="1">
        <v>2.4108999999999998</v>
      </c>
      <c r="L530" s="1">
        <v>2.327</v>
      </c>
      <c r="M530" s="1">
        <v>1.5389999999999999</v>
      </c>
      <c r="N530" s="1">
        <v>1.1910000000000001</v>
      </c>
      <c r="O530" s="1">
        <v>1056</v>
      </c>
      <c r="P530" s="1">
        <v>221.1</v>
      </c>
      <c r="Q530" s="1">
        <v>165</v>
      </c>
      <c r="R530" s="1">
        <v>6.73</v>
      </c>
      <c r="S530" s="1">
        <v>120</v>
      </c>
      <c r="T530" s="1">
        <v>13.05</v>
      </c>
      <c r="U530" s="1">
        <v>13.6</v>
      </c>
      <c r="V530" s="1" t="s">
        <v>297</v>
      </c>
    </row>
    <row r="531" spans="2:22">
      <c r="B531" s="1" t="s">
        <v>298</v>
      </c>
      <c r="C531" s="1">
        <v>0.21118999999999999</v>
      </c>
      <c r="D531" s="108">
        <f t="shared" si="22"/>
        <v>30.630575220000001</v>
      </c>
      <c r="E531" s="1">
        <v>559.4</v>
      </c>
      <c r="F531" s="1">
        <f t="shared" si="23"/>
        <v>4.7959330487746392</v>
      </c>
      <c r="G531" s="1">
        <v>0.20851</v>
      </c>
      <c r="H531" s="1">
        <v>141.94</v>
      </c>
      <c r="I531" s="1">
        <v>547.46</v>
      </c>
      <c r="J531" s="1">
        <v>0.77949999999999997</v>
      </c>
      <c r="K531" s="1">
        <v>2.4070999999999998</v>
      </c>
      <c r="L531" s="1">
        <v>2.3380000000000001</v>
      </c>
      <c r="M531" s="1">
        <v>1.5529999999999999</v>
      </c>
      <c r="N531" s="1">
        <v>1.1919999999999999</v>
      </c>
      <c r="O531" s="1">
        <v>1043</v>
      </c>
      <c r="P531" s="1">
        <v>221.3</v>
      </c>
      <c r="Q531" s="1">
        <v>161.5</v>
      </c>
      <c r="R531" s="1">
        <v>6.78</v>
      </c>
      <c r="S531" s="1">
        <v>118.8</v>
      </c>
      <c r="T531" s="1">
        <v>13.24</v>
      </c>
      <c r="U531" s="1">
        <v>13.33</v>
      </c>
      <c r="V531" s="1" t="s">
        <v>298</v>
      </c>
    </row>
    <row r="532" spans="2:22">
      <c r="B532" s="1" t="s">
        <v>299</v>
      </c>
      <c r="C532" s="1">
        <v>0.22739000000000001</v>
      </c>
      <c r="D532" s="108">
        <f t="shared" si="22"/>
        <v>32.980190820000004</v>
      </c>
      <c r="E532" s="1">
        <v>556.9</v>
      </c>
      <c r="F532" s="1">
        <f t="shared" si="23"/>
        <v>5.140859551717047</v>
      </c>
      <c r="G532" s="1">
        <v>0.19452</v>
      </c>
      <c r="H532" s="1">
        <v>146.63999999999999</v>
      </c>
      <c r="I532" s="1">
        <v>549.79999999999995</v>
      </c>
      <c r="J532" s="1">
        <v>0.79820000000000002</v>
      </c>
      <c r="K532" s="1">
        <v>2.4034</v>
      </c>
      <c r="L532" s="1">
        <v>2.3490000000000002</v>
      </c>
      <c r="M532" s="1">
        <v>1.5660000000000001</v>
      </c>
      <c r="N532" s="1">
        <v>1.1930000000000001</v>
      </c>
      <c r="O532" s="1">
        <v>1030</v>
      </c>
      <c r="P532" s="1">
        <v>221.5</v>
      </c>
      <c r="Q532" s="1">
        <v>158.1</v>
      </c>
      <c r="R532" s="1">
        <v>6.83</v>
      </c>
      <c r="S532" s="1">
        <v>117.7</v>
      </c>
      <c r="T532" s="1">
        <v>13.43</v>
      </c>
      <c r="U532" s="1">
        <v>13.06</v>
      </c>
      <c r="V532" s="1" t="s">
        <v>299</v>
      </c>
    </row>
    <row r="533" spans="2:22">
      <c r="B533" s="1" t="s">
        <v>300</v>
      </c>
      <c r="C533" s="1">
        <v>0.24451999999999999</v>
      </c>
      <c r="D533" s="108">
        <f t="shared" si="22"/>
        <v>35.464691760000001</v>
      </c>
      <c r="E533" s="1">
        <v>554.5</v>
      </c>
      <c r="F533" s="1">
        <f t="shared" si="23"/>
        <v>5.5044861562173173</v>
      </c>
      <c r="G533" s="1">
        <v>0.18167</v>
      </c>
      <c r="H533" s="1">
        <v>151.36000000000001</v>
      </c>
      <c r="I533" s="1">
        <v>552.13</v>
      </c>
      <c r="J533" s="1">
        <v>0.81679999999999997</v>
      </c>
      <c r="K533" s="1">
        <v>2.3999000000000001</v>
      </c>
      <c r="L533" s="1">
        <v>2.3610000000000002</v>
      </c>
      <c r="M533" s="1">
        <v>1.58</v>
      </c>
      <c r="N533" s="1">
        <v>1.1950000000000001</v>
      </c>
      <c r="O533" s="1">
        <v>1016</v>
      </c>
      <c r="P533" s="1">
        <v>221.6</v>
      </c>
      <c r="Q533" s="1">
        <v>154.69999999999999</v>
      </c>
      <c r="R533" s="1">
        <v>6.89</v>
      </c>
      <c r="S533" s="1">
        <v>116.6</v>
      </c>
      <c r="T533" s="1">
        <v>13.63</v>
      </c>
      <c r="U533" s="1">
        <v>12.79</v>
      </c>
      <c r="V533" s="1" t="s">
        <v>300</v>
      </c>
    </row>
    <row r="534" spans="2:22">
      <c r="B534" s="1" t="s">
        <v>301</v>
      </c>
      <c r="C534" s="1">
        <v>0.26261000000000001</v>
      </c>
      <c r="D534" s="108">
        <f t="shared" si="22"/>
        <v>38.088429180000006</v>
      </c>
      <c r="E534" s="1">
        <v>552</v>
      </c>
      <c r="F534" s="1">
        <f t="shared" si="23"/>
        <v>5.8878944889307583</v>
      </c>
      <c r="G534" s="1">
        <v>0.16983999999999999</v>
      </c>
      <c r="H534" s="1">
        <v>156.11000000000001</v>
      </c>
      <c r="I534" s="1">
        <v>554.46</v>
      </c>
      <c r="J534" s="1">
        <v>0.83530000000000004</v>
      </c>
      <c r="K534" s="1">
        <v>2.3965000000000001</v>
      </c>
      <c r="L534" s="1">
        <v>2.3730000000000002</v>
      </c>
      <c r="M534" s="1">
        <v>1.595</v>
      </c>
      <c r="N534" s="1">
        <v>1.1970000000000001</v>
      </c>
      <c r="O534" s="1">
        <v>1003</v>
      </c>
      <c r="P534" s="1">
        <v>221.8</v>
      </c>
      <c r="Q534" s="1">
        <v>151.5</v>
      </c>
      <c r="R534" s="1">
        <v>6.94</v>
      </c>
      <c r="S534" s="1">
        <v>115.5</v>
      </c>
      <c r="T534" s="1">
        <v>13.83</v>
      </c>
      <c r="U534" s="1">
        <v>12.52</v>
      </c>
      <c r="V534" s="1" t="s">
        <v>301</v>
      </c>
    </row>
    <row r="535" spans="2:22">
      <c r="B535" s="1" t="s">
        <v>302</v>
      </c>
      <c r="C535" s="1">
        <v>0.28170000000000001</v>
      </c>
      <c r="D535" s="108">
        <f t="shared" si="22"/>
        <v>40.857204600000003</v>
      </c>
      <c r="E535" s="1">
        <v>549.5</v>
      </c>
      <c r="F535" s="1">
        <f t="shared" si="23"/>
        <v>6.2916823958726562</v>
      </c>
      <c r="G535" s="1">
        <v>0.15894</v>
      </c>
      <c r="H535" s="1">
        <v>160.88</v>
      </c>
      <c r="I535" s="1">
        <v>556.77</v>
      </c>
      <c r="J535" s="1">
        <v>0.8538</v>
      </c>
      <c r="K535" s="1">
        <v>2.3933</v>
      </c>
      <c r="L535" s="1">
        <v>2.3849999999999998</v>
      </c>
      <c r="M535" s="1">
        <v>1.609</v>
      </c>
      <c r="N535" s="1">
        <v>1.198</v>
      </c>
      <c r="O535" s="1">
        <v>990</v>
      </c>
      <c r="P535" s="1">
        <v>221.8</v>
      </c>
      <c r="Q535" s="1">
        <v>148.30000000000001</v>
      </c>
      <c r="R535" s="1">
        <v>6.99</v>
      </c>
      <c r="S535" s="1">
        <v>114.4</v>
      </c>
      <c r="T535" s="1">
        <v>14.03</v>
      </c>
      <c r="U535" s="1">
        <v>12.25</v>
      </c>
      <c r="V535" s="1" t="s">
        <v>302</v>
      </c>
    </row>
    <row r="536" spans="2:22">
      <c r="B536" s="1" t="s">
        <v>303</v>
      </c>
      <c r="C536" s="1">
        <v>0.30181000000000002</v>
      </c>
      <c r="D536" s="108">
        <f t="shared" si="22"/>
        <v>43.77391878000001</v>
      </c>
      <c r="E536" s="1">
        <v>546.9</v>
      </c>
      <c r="F536" s="1">
        <f t="shared" si="23"/>
        <v>6.7163677883000874</v>
      </c>
      <c r="G536" s="1">
        <v>0.14888999999999999</v>
      </c>
      <c r="H536" s="1">
        <v>165.68</v>
      </c>
      <c r="I536" s="1">
        <v>559.08000000000004</v>
      </c>
      <c r="J536" s="1">
        <v>0.87219999999999998</v>
      </c>
      <c r="K536" s="1">
        <v>2.3902999999999999</v>
      </c>
      <c r="L536" s="1">
        <v>2.3969999999999998</v>
      </c>
      <c r="M536" s="1">
        <v>1.6240000000000001</v>
      </c>
      <c r="N536" s="1">
        <v>1.2</v>
      </c>
      <c r="O536" s="1">
        <v>977</v>
      </c>
      <c r="P536" s="1">
        <v>221.9</v>
      </c>
      <c r="Q536" s="1">
        <v>145.19999999999999</v>
      </c>
      <c r="R536" s="1">
        <v>7.05</v>
      </c>
      <c r="S536" s="1">
        <v>113.4</v>
      </c>
      <c r="T536" s="1">
        <v>14.23</v>
      </c>
      <c r="U536" s="1">
        <v>11.98</v>
      </c>
      <c r="V536" s="1" t="s">
        <v>303</v>
      </c>
    </row>
    <row r="537" spans="2:22">
      <c r="B537" s="1" t="s">
        <v>304</v>
      </c>
      <c r="C537" s="1">
        <v>0.32300000000000001</v>
      </c>
      <c r="D537" s="108">
        <f t="shared" si="22"/>
        <v>46.847274000000006</v>
      </c>
      <c r="E537" s="1">
        <v>544.4</v>
      </c>
      <c r="F537" s="1">
        <f t="shared" si="23"/>
        <v>7.1628106869135442</v>
      </c>
      <c r="G537" s="1">
        <v>0.13961000000000001</v>
      </c>
      <c r="H537" s="1">
        <v>170.5</v>
      </c>
      <c r="I537" s="1">
        <v>561.37</v>
      </c>
      <c r="J537" s="1">
        <v>0.89059999999999995</v>
      </c>
      <c r="K537" s="1">
        <v>2.3874</v>
      </c>
      <c r="L537" s="1">
        <v>2.41</v>
      </c>
      <c r="M537" s="1">
        <v>1.639</v>
      </c>
      <c r="N537" s="1">
        <v>1.202</v>
      </c>
      <c r="O537" s="1">
        <v>964</v>
      </c>
      <c r="P537" s="1">
        <v>221.9</v>
      </c>
      <c r="Q537" s="1">
        <v>142.19999999999999</v>
      </c>
      <c r="R537" s="1">
        <v>7.1</v>
      </c>
      <c r="S537" s="1">
        <v>112.3</v>
      </c>
      <c r="T537" s="1">
        <v>14.44</v>
      </c>
      <c r="U537" s="1">
        <v>11.71</v>
      </c>
      <c r="V537" s="1" t="s">
        <v>304</v>
      </c>
    </row>
    <row r="538" spans="2:22">
      <c r="B538" s="1" t="s">
        <v>305</v>
      </c>
      <c r="C538" s="1">
        <v>0.34527999999999998</v>
      </c>
      <c r="D538" s="108">
        <f t="shared" si="22"/>
        <v>50.07872064</v>
      </c>
      <c r="E538" s="1">
        <v>541.79999999999995</v>
      </c>
      <c r="F538" s="1">
        <f t="shared" si="23"/>
        <v>7.6318400366328314</v>
      </c>
      <c r="G538" s="1">
        <v>0.13103000000000001</v>
      </c>
      <c r="H538" s="1">
        <v>175.35</v>
      </c>
      <c r="I538" s="1">
        <v>563.65</v>
      </c>
      <c r="J538" s="1">
        <v>0.90900000000000003</v>
      </c>
      <c r="K538" s="1">
        <v>2.3845999999999998</v>
      </c>
      <c r="L538" s="1">
        <v>2.423</v>
      </c>
      <c r="M538" s="1">
        <v>1.655</v>
      </c>
      <c r="N538" s="1">
        <v>1.2050000000000001</v>
      </c>
      <c r="O538" s="1">
        <v>951</v>
      </c>
      <c r="P538" s="1">
        <v>221.9</v>
      </c>
      <c r="Q538" s="1">
        <v>139.30000000000001</v>
      </c>
      <c r="R538" s="1">
        <v>7.16</v>
      </c>
      <c r="S538" s="1">
        <v>111.2</v>
      </c>
      <c r="T538" s="1">
        <v>14.65</v>
      </c>
      <c r="U538" s="1">
        <v>11.45</v>
      </c>
      <c r="V538" s="1" t="s">
        <v>305</v>
      </c>
    </row>
    <row r="539" spans="2:22">
      <c r="B539" s="1" t="s">
        <v>306</v>
      </c>
      <c r="C539" s="1">
        <v>0.36870000000000003</v>
      </c>
      <c r="D539" s="108">
        <f t="shared" si="22"/>
        <v>53.475510600000007</v>
      </c>
      <c r="E539" s="1">
        <v>539.20000000000005</v>
      </c>
      <c r="F539" s="1">
        <f t="shared" si="23"/>
        <v>8.1247968800779979</v>
      </c>
      <c r="G539" s="1">
        <v>0.12307999999999999</v>
      </c>
      <c r="H539" s="1">
        <v>180.22</v>
      </c>
      <c r="I539" s="1">
        <v>565.91999999999996</v>
      </c>
      <c r="J539" s="1">
        <v>0.92730000000000001</v>
      </c>
      <c r="K539" s="1">
        <v>2.3818999999999999</v>
      </c>
      <c r="L539" s="1">
        <v>2.4359999999999999</v>
      </c>
      <c r="M539" s="1">
        <v>1.671</v>
      </c>
      <c r="N539" s="1">
        <v>1.2070000000000001</v>
      </c>
      <c r="O539" s="1">
        <v>938</v>
      </c>
      <c r="P539" s="1">
        <v>221.8</v>
      </c>
      <c r="Q539" s="1">
        <v>136.4</v>
      </c>
      <c r="R539" s="1">
        <v>7.22</v>
      </c>
      <c r="S539" s="1">
        <v>110.1</v>
      </c>
      <c r="T539" s="1">
        <v>14.86</v>
      </c>
      <c r="U539" s="1">
        <v>11.18</v>
      </c>
      <c r="V539" s="1" t="s">
        <v>306</v>
      </c>
    </row>
    <row r="540" spans="2:22">
      <c r="B540" s="1" t="s">
        <v>307</v>
      </c>
      <c r="C540" s="1">
        <v>0.39328999999999997</v>
      </c>
      <c r="D540" s="108">
        <f t="shared" si="22"/>
        <v>57.041995020000002</v>
      </c>
      <c r="E540" s="1">
        <v>536.6</v>
      </c>
      <c r="F540" s="1">
        <f t="shared" si="23"/>
        <v>8.6422953936565552</v>
      </c>
      <c r="G540" s="1">
        <v>0.11570999999999999</v>
      </c>
      <c r="H540" s="1">
        <v>185.12</v>
      </c>
      <c r="I540" s="1">
        <v>568.17999999999995</v>
      </c>
      <c r="J540" s="1">
        <v>0.94550000000000001</v>
      </c>
      <c r="K540" s="1">
        <v>2.3794</v>
      </c>
      <c r="L540" s="1">
        <v>2.4500000000000002</v>
      </c>
      <c r="M540" s="1">
        <v>1.6870000000000001</v>
      </c>
      <c r="N540" s="1">
        <v>1.2090000000000001</v>
      </c>
      <c r="O540" s="1">
        <v>925</v>
      </c>
      <c r="P540" s="1">
        <v>221.8</v>
      </c>
      <c r="Q540" s="1">
        <v>133.6</v>
      </c>
      <c r="R540" s="1">
        <v>7.27</v>
      </c>
      <c r="S540" s="1">
        <v>109.1</v>
      </c>
      <c r="T540" s="1">
        <v>15.08</v>
      </c>
      <c r="U540" s="1">
        <v>10.92</v>
      </c>
      <c r="V540" s="1" t="s">
        <v>307</v>
      </c>
    </row>
    <row r="541" spans="2:22">
      <c r="B541" s="1" t="s">
        <v>308</v>
      </c>
      <c r="C541" s="1">
        <v>0.41909000000000002</v>
      </c>
      <c r="D541" s="108">
        <f t="shared" si="22"/>
        <v>60.783975420000004</v>
      </c>
      <c r="E541" s="1">
        <v>533.9</v>
      </c>
      <c r="F541" s="1">
        <f t="shared" si="23"/>
        <v>9.1852668320014708</v>
      </c>
      <c r="G541" s="1">
        <v>0.10886999999999999</v>
      </c>
      <c r="H541" s="1">
        <v>190.05</v>
      </c>
      <c r="I541" s="1">
        <v>570.41999999999996</v>
      </c>
      <c r="J541" s="1">
        <v>0.9637</v>
      </c>
      <c r="K541" s="1">
        <v>2.3769</v>
      </c>
      <c r="L541" s="1">
        <v>2.464</v>
      </c>
      <c r="M541" s="1">
        <v>1.704</v>
      </c>
      <c r="N541" s="1">
        <v>1.212</v>
      </c>
      <c r="O541" s="1">
        <v>912</v>
      </c>
      <c r="P541" s="1">
        <v>221.6</v>
      </c>
      <c r="Q541" s="1">
        <v>130.9</v>
      </c>
      <c r="R541" s="1">
        <v>7.33</v>
      </c>
      <c r="S541" s="1">
        <v>108</v>
      </c>
      <c r="T541" s="1">
        <v>15.29</v>
      </c>
      <c r="U541" s="1">
        <v>10.65</v>
      </c>
      <c r="V541" s="1" t="s">
        <v>308</v>
      </c>
    </row>
    <row r="542" spans="2:22">
      <c r="B542" s="1" t="s">
        <v>309</v>
      </c>
      <c r="C542" s="1">
        <v>0.44613000000000003</v>
      </c>
      <c r="D542" s="108">
        <f t="shared" si="22"/>
        <v>64.705802940000012</v>
      </c>
      <c r="E542" s="1">
        <v>531.29999999999995</v>
      </c>
      <c r="F542" s="1">
        <f t="shared" si="23"/>
        <v>9.754194303550527</v>
      </c>
      <c r="G542" s="1">
        <v>0.10252</v>
      </c>
      <c r="H542" s="1">
        <v>195.01</v>
      </c>
      <c r="I542" s="1">
        <v>572.65</v>
      </c>
      <c r="J542" s="1">
        <v>0.9819</v>
      </c>
      <c r="K542" s="1">
        <v>2.3746</v>
      </c>
      <c r="L542" s="1">
        <v>2.4780000000000002</v>
      </c>
      <c r="M542" s="1">
        <v>1.7210000000000001</v>
      </c>
      <c r="N542" s="1">
        <v>1.2150000000000001</v>
      </c>
      <c r="O542" s="1">
        <v>899</v>
      </c>
      <c r="P542" s="1">
        <v>221.5</v>
      </c>
      <c r="Q542" s="1">
        <v>128.19999999999999</v>
      </c>
      <c r="R542" s="1">
        <v>7.39</v>
      </c>
      <c r="S542" s="1">
        <v>107</v>
      </c>
      <c r="T542" s="1">
        <v>15.52</v>
      </c>
      <c r="U542" s="1">
        <v>10.39</v>
      </c>
      <c r="V542" s="1" t="s">
        <v>309</v>
      </c>
    </row>
    <row r="543" spans="2:22">
      <c r="B543" s="1">
        <v>0</v>
      </c>
      <c r="C543" s="1">
        <v>0.47445999999999999</v>
      </c>
      <c r="D543" s="108">
        <f t="shared" si="22"/>
        <v>68.814729480000011</v>
      </c>
      <c r="E543" s="1">
        <v>528.6</v>
      </c>
      <c r="F543" s="1">
        <f t="shared" si="23"/>
        <v>10.350895352447987</v>
      </c>
      <c r="G543" s="1">
        <v>9.6610000000000001E-2</v>
      </c>
      <c r="H543" s="1">
        <v>200</v>
      </c>
      <c r="I543" s="1">
        <v>574.87</v>
      </c>
      <c r="J543" s="1">
        <v>1</v>
      </c>
      <c r="K543" s="1">
        <v>2.3723999999999998</v>
      </c>
      <c r="L543" s="1">
        <v>2.4929999999999999</v>
      </c>
      <c r="M543" s="1">
        <v>1.7390000000000001</v>
      </c>
      <c r="N543" s="1">
        <v>1.218</v>
      </c>
      <c r="O543" s="1">
        <v>885</v>
      </c>
      <c r="P543" s="1">
        <v>221.3</v>
      </c>
      <c r="Q543" s="1">
        <v>125.6</v>
      </c>
      <c r="R543" s="1">
        <v>7.45</v>
      </c>
      <c r="S543" s="1">
        <v>106</v>
      </c>
      <c r="T543" s="1">
        <v>15.74</v>
      </c>
      <c r="U543" s="1">
        <v>10.130000000000001</v>
      </c>
      <c r="V543" s="1">
        <v>0</v>
      </c>
    </row>
    <row r="544" spans="2:22">
      <c r="B544" s="1">
        <v>2</v>
      </c>
      <c r="C544" s="1">
        <v>0.50409999999999999</v>
      </c>
      <c r="D544" s="108">
        <f t="shared" si="22"/>
        <v>73.113655800000004</v>
      </c>
      <c r="E544" s="1">
        <v>525.9</v>
      </c>
      <c r="F544" s="1">
        <f t="shared" si="23"/>
        <v>10.975743606629349</v>
      </c>
      <c r="G544" s="1">
        <v>9.1109999999999997E-2</v>
      </c>
      <c r="H544" s="1">
        <v>205.02</v>
      </c>
      <c r="I544" s="1">
        <v>577.05999999999995</v>
      </c>
      <c r="J544" s="1">
        <v>1.0181</v>
      </c>
      <c r="K544" s="1">
        <v>2.3702999999999999</v>
      </c>
      <c r="L544" s="1">
        <v>2.508</v>
      </c>
      <c r="M544" s="1">
        <v>1.7569999999999999</v>
      </c>
      <c r="N544" s="1">
        <v>1.2210000000000001</v>
      </c>
      <c r="O544" s="1">
        <v>872</v>
      </c>
      <c r="P544" s="1">
        <v>221.1</v>
      </c>
      <c r="Q544" s="1">
        <v>123</v>
      </c>
      <c r="R544" s="1">
        <v>7.51</v>
      </c>
      <c r="S544" s="1">
        <v>104.9</v>
      </c>
      <c r="T544" s="1">
        <v>15.97</v>
      </c>
      <c r="U544" s="1">
        <v>9.8699999999999992</v>
      </c>
      <c r="V544" s="1">
        <v>2</v>
      </c>
    </row>
    <row r="545" spans="2:22">
      <c r="B545" s="1">
        <v>4</v>
      </c>
      <c r="C545" s="1">
        <v>0.53510000000000002</v>
      </c>
      <c r="D545" s="108">
        <f t="shared" si="22"/>
        <v>77.609833800000004</v>
      </c>
      <c r="E545" s="1">
        <v>523.1</v>
      </c>
      <c r="F545" s="1">
        <f t="shared" si="23"/>
        <v>11.630611770179112</v>
      </c>
      <c r="G545" s="1">
        <v>8.5980000000000001E-2</v>
      </c>
      <c r="H545" s="1">
        <v>210.06</v>
      </c>
      <c r="I545" s="1">
        <v>579.24</v>
      </c>
      <c r="J545" s="1">
        <v>1.0362</v>
      </c>
      <c r="K545" s="1">
        <v>2.3681999999999999</v>
      </c>
      <c r="L545" s="1">
        <v>2.524</v>
      </c>
      <c r="M545" s="1">
        <v>1.776</v>
      </c>
      <c r="N545" s="1">
        <v>1.2250000000000001</v>
      </c>
      <c r="O545" s="1">
        <v>859</v>
      </c>
      <c r="P545" s="1">
        <v>220.8</v>
      </c>
      <c r="Q545" s="1">
        <v>120.5</v>
      </c>
      <c r="R545" s="1">
        <v>7.57</v>
      </c>
      <c r="S545" s="1">
        <v>103.9</v>
      </c>
      <c r="T545" s="1">
        <v>16.2</v>
      </c>
      <c r="U545" s="1">
        <v>9.6199999999999992</v>
      </c>
      <c r="V545" s="1">
        <v>4</v>
      </c>
    </row>
    <row r="546" spans="2:22">
      <c r="B546" s="1">
        <v>6</v>
      </c>
      <c r="C546" s="1">
        <v>0.56749000000000005</v>
      </c>
      <c r="D546" s="108">
        <f t="shared" si="22"/>
        <v>82.30761462000001</v>
      </c>
      <c r="E546" s="1">
        <v>520.4</v>
      </c>
      <c r="F546" s="1">
        <f t="shared" si="23"/>
        <v>12.315270935960593</v>
      </c>
      <c r="G546" s="1">
        <v>8.1199999999999994E-2</v>
      </c>
      <c r="H546" s="1">
        <v>215.14</v>
      </c>
      <c r="I546" s="1">
        <v>581.41</v>
      </c>
      <c r="J546" s="1">
        <v>1.0542</v>
      </c>
      <c r="K546" s="1">
        <v>2.3662999999999998</v>
      </c>
      <c r="L546" s="1">
        <v>2.54</v>
      </c>
      <c r="M546" s="1">
        <v>1.7949999999999999</v>
      </c>
      <c r="N546" s="1">
        <v>1.2290000000000001</v>
      </c>
      <c r="O546" s="1">
        <v>846</v>
      </c>
      <c r="P546" s="1">
        <v>220.5</v>
      </c>
      <c r="Q546" s="1">
        <v>118.1</v>
      </c>
      <c r="R546" s="1">
        <v>7.63</v>
      </c>
      <c r="S546" s="1">
        <v>102.9</v>
      </c>
      <c r="T546" s="1">
        <v>16.440000000000001</v>
      </c>
      <c r="U546" s="1">
        <v>9.36</v>
      </c>
      <c r="V546" s="1">
        <v>6</v>
      </c>
    </row>
    <row r="547" spans="2:22">
      <c r="B547" s="1">
        <v>8</v>
      </c>
      <c r="C547" s="1">
        <v>0.60131000000000001</v>
      </c>
      <c r="D547" s="108">
        <f t="shared" si="22"/>
        <v>87.212799780000012</v>
      </c>
      <c r="E547" s="1">
        <v>517.6</v>
      </c>
      <c r="F547" s="1">
        <f t="shared" si="23"/>
        <v>13.032712107389546</v>
      </c>
      <c r="G547" s="1">
        <v>7.6730000000000007E-2</v>
      </c>
      <c r="H547" s="1">
        <v>220.25</v>
      </c>
      <c r="I547" s="1">
        <v>583.54999999999995</v>
      </c>
      <c r="J547" s="1">
        <v>1.0722</v>
      </c>
      <c r="K547" s="1">
        <v>2.3643999999999998</v>
      </c>
      <c r="L547" s="1">
        <v>2.556</v>
      </c>
      <c r="M547" s="1">
        <v>1.8149999999999999</v>
      </c>
      <c r="N547" s="1">
        <v>1.232</v>
      </c>
      <c r="O547" s="1">
        <v>833</v>
      </c>
      <c r="P547" s="1">
        <v>220.2</v>
      </c>
      <c r="Q547" s="1">
        <v>115.7</v>
      </c>
      <c r="R547" s="1">
        <v>7.69</v>
      </c>
      <c r="S547" s="1">
        <v>101.9</v>
      </c>
      <c r="T547" s="1">
        <v>16.68</v>
      </c>
      <c r="U547" s="1">
        <v>9.1</v>
      </c>
      <c r="V547" s="1">
        <v>8</v>
      </c>
    </row>
    <row r="548" spans="2:22">
      <c r="B548" s="1">
        <v>10</v>
      </c>
      <c r="C548" s="1">
        <v>0.63660000000000005</v>
      </c>
      <c r="D548" s="108">
        <f t="shared" si="22"/>
        <v>92.331190800000016</v>
      </c>
      <c r="E548" s="1">
        <v>514.70000000000005</v>
      </c>
      <c r="F548" s="1">
        <f t="shared" si="23"/>
        <v>13.783597518952446</v>
      </c>
      <c r="G548" s="1">
        <v>7.2550000000000003E-2</v>
      </c>
      <c r="H548" s="1">
        <v>225.4</v>
      </c>
      <c r="I548" s="1">
        <v>585.66999999999996</v>
      </c>
      <c r="J548" s="1">
        <v>1.0902000000000001</v>
      </c>
      <c r="K548" s="1">
        <v>2.3626</v>
      </c>
      <c r="L548" s="1">
        <v>2.573</v>
      </c>
      <c r="M548" s="1">
        <v>1.835</v>
      </c>
      <c r="N548" s="1">
        <v>1.2370000000000001</v>
      </c>
      <c r="O548" s="1">
        <v>819</v>
      </c>
      <c r="P548" s="1">
        <v>219.8</v>
      </c>
      <c r="Q548" s="1">
        <v>113.3</v>
      </c>
      <c r="R548" s="1">
        <v>7.75</v>
      </c>
      <c r="S548" s="1">
        <v>100.9</v>
      </c>
      <c r="T548" s="1">
        <v>16.93</v>
      </c>
      <c r="U548" s="1">
        <v>8.85</v>
      </c>
      <c r="V548" s="1">
        <v>10</v>
      </c>
    </row>
    <row r="549" spans="2:22">
      <c r="B549" s="1">
        <v>12</v>
      </c>
      <c r="C549" s="1">
        <v>0.6734</v>
      </c>
      <c r="D549" s="108">
        <f t="shared" si="22"/>
        <v>97.668589200000014</v>
      </c>
      <c r="E549" s="1">
        <v>511.9</v>
      </c>
      <c r="F549" s="1">
        <f t="shared" si="23"/>
        <v>14.566642388929351</v>
      </c>
      <c r="G549" s="1">
        <v>6.8650000000000003E-2</v>
      </c>
      <c r="H549" s="1">
        <v>230.57</v>
      </c>
      <c r="I549" s="1">
        <v>587.77</v>
      </c>
      <c r="J549" s="1">
        <v>1.1082000000000001</v>
      </c>
      <c r="K549" s="1">
        <v>2.3607999999999998</v>
      </c>
      <c r="L549" s="1">
        <v>2.5910000000000002</v>
      </c>
      <c r="M549" s="1">
        <v>1.8560000000000001</v>
      </c>
      <c r="N549" s="1">
        <v>1.2410000000000001</v>
      </c>
      <c r="O549" s="1">
        <v>806</v>
      </c>
      <c r="P549" s="1">
        <v>219.3</v>
      </c>
      <c r="Q549" s="1">
        <v>111</v>
      </c>
      <c r="R549" s="1">
        <v>7.82</v>
      </c>
      <c r="S549" s="1">
        <v>99.9</v>
      </c>
      <c r="T549" s="1">
        <v>17.18</v>
      </c>
      <c r="U549" s="1">
        <v>8.6</v>
      </c>
      <c r="V549" s="1">
        <v>12</v>
      </c>
    </row>
    <row r="550" spans="2:22">
      <c r="B550" s="1">
        <v>14</v>
      </c>
      <c r="C550" s="1">
        <v>0.71174999999999999</v>
      </c>
      <c r="D550" s="108">
        <f t="shared" si="22"/>
        <v>103.23079650000001</v>
      </c>
      <c r="E550" s="1">
        <v>509</v>
      </c>
      <c r="F550" s="1">
        <f t="shared" si="23"/>
        <v>15.389350569405972</v>
      </c>
      <c r="G550" s="1">
        <v>6.4979999999999996E-2</v>
      </c>
      <c r="H550" s="1">
        <v>235.79</v>
      </c>
      <c r="I550" s="1">
        <v>589.85</v>
      </c>
      <c r="J550" s="1">
        <v>1.1261000000000001</v>
      </c>
      <c r="K550" s="1">
        <v>2.3592</v>
      </c>
      <c r="L550" s="1">
        <v>2.609</v>
      </c>
      <c r="M550" s="1">
        <v>1.8779999999999999</v>
      </c>
      <c r="N550" s="1">
        <v>1.246</v>
      </c>
      <c r="O550" s="1">
        <v>793</v>
      </c>
      <c r="P550" s="1">
        <v>218.9</v>
      </c>
      <c r="Q550" s="1">
        <v>108.8</v>
      </c>
      <c r="R550" s="1">
        <v>7.88</v>
      </c>
      <c r="S550" s="1">
        <v>99</v>
      </c>
      <c r="T550" s="1">
        <v>17.440000000000001</v>
      </c>
      <c r="U550" s="1">
        <v>8.34</v>
      </c>
      <c r="V550" s="1">
        <v>14</v>
      </c>
    </row>
    <row r="551" spans="2:22">
      <c r="B551" s="1">
        <v>16</v>
      </c>
      <c r="C551" s="1">
        <v>0.75168000000000001</v>
      </c>
      <c r="D551" s="108">
        <f t="shared" si="22"/>
        <v>109.02216384</v>
      </c>
      <c r="E551" s="1">
        <v>506</v>
      </c>
      <c r="F551" s="1">
        <f t="shared" si="23"/>
        <v>16.246953696181965</v>
      </c>
      <c r="G551" s="1">
        <v>6.1550000000000001E-2</v>
      </c>
      <c r="H551" s="1">
        <v>241.03</v>
      </c>
      <c r="I551" s="1">
        <v>591.91</v>
      </c>
      <c r="J551" s="1">
        <v>1.1439999999999999</v>
      </c>
      <c r="K551" s="1">
        <v>2.3574999999999999</v>
      </c>
      <c r="L551" s="1">
        <v>2.6269999999999998</v>
      </c>
      <c r="M551" s="1">
        <v>1.901</v>
      </c>
      <c r="N551" s="1">
        <v>1.2509999999999999</v>
      </c>
      <c r="O551" s="1">
        <v>780</v>
      </c>
      <c r="P551" s="1">
        <v>218.4</v>
      </c>
      <c r="Q551" s="1">
        <v>106.6</v>
      </c>
      <c r="R551" s="1">
        <v>7.95</v>
      </c>
      <c r="S551" s="1">
        <v>98</v>
      </c>
      <c r="T551" s="1">
        <v>17.7</v>
      </c>
      <c r="U551" s="1">
        <v>8.09</v>
      </c>
      <c r="V551" s="1">
        <v>16</v>
      </c>
    </row>
    <row r="552" spans="2:22">
      <c r="B552" s="1">
        <v>18</v>
      </c>
      <c r="C552" s="1">
        <v>0.79323999999999995</v>
      </c>
      <c r="D552" s="108">
        <f t="shared" si="22"/>
        <v>115.04994311999999</v>
      </c>
      <c r="E552" s="1">
        <v>503.1</v>
      </c>
      <c r="F552" s="1">
        <f t="shared" si="23"/>
        <v>17.143836790673753</v>
      </c>
      <c r="G552" s="1">
        <v>5.833E-2</v>
      </c>
      <c r="H552" s="1">
        <v>246.32</v>
      </c>
      <c r="I552" s="1">
        <v>593.94000000000005</v>
      </c>
      <c r="J552" s="1">
        <v>1.1619999999999999</v>
      </c>
      <c r="K552" s="1">
        <v>2.3559999999999999</v>
      </c>
      <c r="L552" s="1">
        <v>2.6459999999999999</v>
      </c>
      <c r="M552" s="1">
        <v>1.925</v>
      </c>
      <c r="N552" s="1">
        <v>1.256</v>
      </c>
      <c r="O552" s="1">
        <v>766</v>
      </c>
      <c r="P552" s="1">
        <v>217.8</v>
      </c>
      <c r="Q552" s="1">
        <v>104.4</v>
      </c>
      <c r="R552" s="1">
        <v>8.02</v>
      </c>
      <c r="S552" s="1">
        <v>97</v>
      </c>
      <c r="T552" s="1">
        <v>17.97</v>
      </c>
      <c r="U552" s="1">
        <v>7.85</v>
      </c>
      <c r="V552" s="1">
        <v>18</v>
      </c>
    </row>
    <row r="553" spans="2:22">
      <c r="B553" s="1">
        <v>20</v>
      </c>
      <c r="C553" s="1">
        <v>0.83645999999999998</v>
      </c>
      <c r="D553" s="108">
        <f t="shared" si="22"/>
        <v>121.31848548000001</v>
      </c>
      <c r="E553" s="1">
        <v>500.1</v>
      </c>
      <c r="F553" s="1">
        <f t="shared" si="23"/>
        <v>18.083182640144663</v>
      </c>
      <c r="G553" s="1">
        <v>5.5300000000000002E-2</v>
      </c>
      <c r="H553" s="1">
        <v>251.64</v>
      </c>
      <c r="I553" s="1">
        <v>595.95000000000005</v>
      </c>
      <c r="J553" s="1">
        <v>1.1798999999999999</v>
      </c>
      <c r="K553" s="1">
        <v>2.3544</v>
      </c>
      <c r="L553" s="1">
        <v>2.6659999999999999</v>
      </c>
      <c r="M553" s="1">
        <v>1.9490000000000001</v>
      </c>
      <c r="N553" s="1">
        <v>1.262</v>
      </c>
      <c r="O553" s="1">
        <v>753</v>
      </c>
      <c r="P553" s="1">
        <v>217.2</v>
      </c>
      <c r="Q553" s="1">
        <v>102.3</v>
      </c>
      <c r="R553" s="1">
        <v>8.09</v>
      </c>
      <c r="S553" s="1">
        <v>96.1</v>
      </c>
      <c r="T553" s="1">
        <v>18.239999999999998</v>
      </c>
      <c r="U553" s="1">
        <v>7.6</v>
      </c>
      <c r="V553" s="1">
        <v>20</v>
      </c>
    </row>
    <row r="554" spans="2:22">
      <c r="B554" s="1">
        <v>22</v>
      </c>
      <c r="C554" s="1">
        <v>0.88139000000000001</v>
      </c>
      <c r="D554" s="108">
        <f t="shared" si="22"/>
        <v>127.83504282000001</v>
      </c>
      <c r="E554" s="1">
        <v>497</v>
      </c>
      <c r="F554" s="1">
        <f t="shared" si="23"/>
        <v>19.062142584826535</v>
      </c>
      <c r="G554" s="1">
        <v>5.246E-2</v>
      </c>
      <c r="H554" s="1">
        <v>256.99</v>
      </c>
      <c r="I554" s="1">
        <v>597.92999999999995</v>
      </c>
      <c r="J554" s="1">
        <v>1.1978</v>
      </c>
      <c r="K554" s="1">
        <v>2.3529</v>
      </c>
      <c r="L554" s="1">
        <v>2.6869999999999998</v>
      </c>
      <c r="M554" s="1">
        <v>1.9750000000000001</v>
      </c>
      <c r="N554" s="1">
        <v>1.268</v>
      </c>
      <c r="O554" s="1">
        <v>739</v>
      </c>
      <c r="P554" s="1">
        <v>216.6</v>
      </c>
      <c r="Q554" s="1">
        <v>100.2</v>
      </c>
      <c r="R554" s="1">
        <v>8.16</v>
      </c>
      <c r="S554" s="1">
        <v>95.1</v>
      </c>
      <c r="T554" s="1">
        <v>18.53</v>
      </c>
      <c r="U554" s="1">
        <v>7.35</v>
      </c>
      <c r="V554" s="1">
        <v>22</v>
      </c>
    </row>
    <row r="555" spans="2:22">
      <c r="B555" s="1">
        <v>24</v>
      </c>
      <c r="C555" s="1">
        <v>0.92806999999999995</v>
      </c>
      <c r="D555" s="108">
        <f t="shared" si="22"/>
        <v>134.60541666</v>
      </c>
      <c r="E555" s="1">
        <v>493.9</v>
      </c>
      <c r="F555" s="1">
        <f t="shared" si="23"/>
        <v>20.088388911209321</v>
      </c>
      <c r="G555" s="1">
        <v>4.9779999999999998E-2</v>
      </c>
      <c r="H555" s="1">
        <v>262.39</v>
      </c>
      <c r="I555" s="1">
        <v>599.88</v>
      </c>
      <c r="J555" s="1">
        <v>1.2157</v>
      </c>
      <c r="K555" s="1">
        <v>2.3513999999999999</v>
      </c>
      <c r="L555" s="1">
        <v>2.7080000000000002</v>
      </c>
      <c r="M555" s="1">
        <v>2.0009999999999999</v>
      </c>
      <c r="N555" s="1">
        <v>1.2749999999999999</v>
      </c>
      <c r="O555" s="1">
        <v>726</v>
      </c>
      <c r="P555" s="1">
        <v>215.9</v>
      </c>
      <c r="Q555" s="1">
        <v>98.1</v>
      </c>
      <c r="R555" s="1">
        <v>8.23</v>
      </c>
      <c r="S555" s="1">
        <v>94.2</v>
      </c>
      <c r="T555" s="1">
        <v>18.809999999999999</v>
      </c>
      <c r="U555" s="1">
        <v>7.11</v>
      </c>
      <c r="V555" s="1">
        <v>24</v>
      </c>
    </row>
    <row r="556" spans="2:22">
      <c r="B556" s="1">
        <v>26</v>
      </c>
      <c r="C556" s="1">
        <v>0.97653000000000001</v>
      </c>
      <c r="D556" s="108">
        <f t="shared" si="22"/>
        <v>141.63395814</v>
      </c>
      <c r="E556" s="1">
        <v>490.8</v>
      </c>
      <c r="F556" s="1">
        <f t="shared" si="23"/>
        <v>21.159542953872194</v>
      </c>
      <c r="G556" s="1">
        <v>4.7260000000000003E-2</v>
      </c>
      <c r="H556" s="1">
        <v>267.83</v>
      </c>
      <c r="I556" s="1">
        <v>601.79999999999995</v>
      </c>
      <c r="J556" s="1">
        <v>1.2336</v>
      </c>
      <c r="K556" s="1">
        <v>2.35</v>
      </c>
      <c r="L556" s="1">
        <v>2.73</v>
      </c>
      <c r="M556" s="1">
        <v>2.0289999999999999</v>
      </c>
      <c r="N556" s="1">
        <v>1.282</v>
      </c>
      <c r="O556" s="1">
        <v>713</v>
      </c>
      <c r="P556" s="1">
        <v>215.2</v>
      </c>
      <c r="Q556" s="1">
        <v>96.1</v>
      </c>
      <c r="R556" s="1">
        <v>8.31</v>
      </c>
      <c r="S556" s="1">
        <v>93.3</v>
      </c>
      <c r="T556" s="1">
        <v>19.11</v>
      </c>
      <c r="U556" s="1">
        <v>6.87</v>
      </c>
      <c r="V556" s="1">
        <v>26</v>
      </c>
    </row>
    <row r="557" spans="2:22">
      <c r="B557" s="1">
        <v>28</v>
      </c>
      <c r="C557" s="1">
        <v>1.0267999999999999</v>
      </c>
      <c r="D557" s="108">
        <f t="shared" si="22"/>
        <v>148.9250184</v>
      </c>
      <c r="E557" s="1">
        <v>487.6</v>
      </c>
      <c r="F557" s="1">
        <f t="shared" si="23"/>
        <v>22.281639928698752</v>
      </c>
      <c r="G557" s="1">
        <v>4.4880000000000003E-2</v>
      </c>
      <c r="H557" s="1">
        <v>273.31</v>
      </c>
      <c r="I557" s="1">
        <v>603.67999999999995</v>
      </c>
      <c r="J557" s="1">
        <v>1.2515000000000001</v>
      </c>
      <c r="K557" s="1">
        <v>2.3485999999999998</v>
      </c>
      <c r="L557" s="1">
        <v>2.7530000000000001</v>
      </c>
      <c r="M557" s="1">
        <v>2.0579999999999998</v>
      </c>
      <c r="N557" s="1">
        <v>1.29</v>
      </c>
      <c r="O557" s="1">
        <v>699</v>
      </c>
      <c r="P557" s="1">
        <v>214.4</v>
      </c>
      <c r="Q557" s="1">
        <v>94.1</v>
      </c>
      <c r="R557" s="1">
        <v>8.3800000000000008</v>
      </c>
      <c r="S557" s="1">
        <v>92.3</v>
      </c>
      <c r="T557" s="1">
        <v>19.41</v>
      </c>
      <c r="U557" s="1">
        <v>6.62</v>
      </c>
      <c r="V557" s="1">
        <v>28</v>
      </c>
    </row>
    <row r="558" spans="2:22">
      <c r="B558" s="1">
        <v>30</v>
      </c>
      <c r="C558" s="1">
        <v>1.079</v>
      </c>
      <c r="D558" s="108">
        <f t="shared" si="22"/>
        <v>156.496002</v>
      </c>
      <c r="E558" s="1">
        <v>484.4</v>
      </c>
      <c r="F558" s="1">
        <f t="shared" si="23"/>
        <v>23.452157598499063</v>
      </c>
      <c r="G558" s="1">
        <v>4.2639999999999997E-2</v>
      </c>
      <c r="H558" s="1">
        <v>278.83</v>
      </c>
      <c r="I558" s="1">
        <v>605.54</v>
      </c>
      <c r="J558" s="1">
        <v>1.2695000000000001</v>
      </c>
      <c r="K558" s="1">
        <v>2.3471000000000002</v>
      </c>
      <c r="L558" s="1">
        <v>2.7770000000000001</v>
      </c>
      <c r="M558" s="1">
        <v>2.0880000000000001</v>
      </c>
      <c r="N558" s="1">
        <v>1.298</v>
      </c>
      <c r="O558" s="1">
        <v>685</v>
      </c>
      <c r="P558" s="1">
        <v>213.5</v>
      </c>
      <c r="Q558" s="1">
        <v>92.2</v>
      </c>
      <c r="R558" s="1">
        <v>8.4600000000000009</v>
      </c>
      <c r="S558" s="1">
        <v>91.4</v>
      </c>
      <c r="T558" s="1">
        <v>19.72</v>
      </c>
      <c r="U558" s="1">
        <v>6.38</v>
      </c>
      <c r="V558" s="1">
        <v>30</v>
      </c>
    </row>
    <row r="559" spans="2:22">
      <c r="B559" s="1">
        <v>32</v>
      </c>
      <c r="C559" s="1">
        <v>1.1331</v>
      </c>
      <c r="D559" s="108">
        <f t="shared" si="22"/>
        <v>164.34255780000001</v>
      </c>
      <c r="E559" s="1">
        <v>481.1</v>
      </c>
      <c r="F559" s="1">
        <f t="shared" si="23"/>
        <v>24.673081667900323</v>
      </c>
      <c r="G559" s="1">
        <v>4.0529999999999997E-2</v>
      </c>
      <c r="H559" s="1">
        <v>284.39999999999998</v>
      </c>
      <c r="I559" s="1">
        <v>607.35</v>
      </c>
      <c r="J559" s="1">
        <v>1.2874000000000001</v>
      </c>
      <c r="K559" s="1">
        <v>2.3456999999999999</v>
      </c>
      <c r="L559" s="1">
        <v>2.802</v>
      </c>
      <c r="M559" s="1">
        <v>2.1190000000000002</v>
      </c>
      <c r="N559" s="1">
        <v>1.3069999999999999</v>
      </c>
      <c r="O559" s="1">
        <v>672</v>
      </c>
      <c r="P559" s="1">
        <v>212.6</v>
      </c>
      <c r="Q559" s="1">
        <v>90.3</v>
      </c>
      <c r="R559" s="1">
        <v>8.5399999999999991</v>
      </c>
      <c r="S559" s="1">
        <v>90.5</v>
      </c>
      <c r="T559" s="1">
        <v>20.05</v>
      </c>
      <c r="U559" s="1">
        <v>6.15</v>
      </c>
      <c r="V559" s="1">
        <v>32</v>
      </c>
    </row>
    <row r="560" spans="2:22">
      <c r="B560" s="1">
        <v>34</v>
      </c>
      <c r="C560" s="1">
        <v>1.1891</v>
      </c>
      <c r="D560" s="108">
        <f t="shared" si="22"/>
        <v>172.46468580000001</v>
      </c>
      <c r="E560" s="1">
        <v>477.8</v>
      </c>
      <c r="F560" s="1">
        <f t="shared" si="23"/>
        <v>25.953802232026991</v>
      </c>
      <c r="G560" s="1">
        <v>3.8530000000000002E-2</v>
      </c>
      <c r="H560" s="1">
        <v>290.01</v>
      </c>
      <c r="I560" s="1">
        <v>609.13</v>
      </c>
      <c r="J560" s="1">
        <v>1.3052999999999999</v>
      </c>
      <c r="K560" s="1">
        <v>2.3443000000000001</v>
      </c>
      <c r="L560" s="1">
        <v>2.827</v>
      </c>
      <c r="M560" s="1">
        <v>2.1520000000000001</v>
      </c>
      <c r="N560" s="1">
        <v>1.3160000000000001</v>
      </c>
      <c r="O560" s="1">
        <v>658</v>
      </c>
      <c r="P560" s="1">
        <v>211.7</v>
      </c>
      <c r="Q560" s="1">
        <v>88.4</v>
      </c>
      <c r="R560" s="1">
        <v>8.6300000000000008</v>
      </c>
      <c r="S560" s="1">
        <v>89.6</v>
      </c>
      <c r="T560" s="1">
        <v>20.38</v>
      </c>
      <c r="U560" s="1">
        <v>5.91</v>
      </c>
      <c r="V560" s="1">
        <v>34</v>
      </c>
    </row>
    <row r="561" spans="2:22">
      <c r="B561" s="1">
        <v>36</v>
      </c>
      <c r="C561" s="1">
        <v>1.2472000000000001</v>
      </c>
      <c r="D561" s="108">
        <f t="shared" si="22"/>
        <v>180.89139360000001</v>
      </c>
      <c r="E561" s="1">
        <v>474.4</v>
      </c>
      <c r="F561" s="1">
        <f t="shared" si="23"/>
        <v>27.292576419213976</v>
      </c>
      <c r="G561" s="1">
        <v>3.6639999999999999E-2</v>
      </c>
      <c r="H561" s="1">
        <v>295.68</v>
      </c>
      <c r="I561" s="1">
        <v>610.87</v>
      </c>
      <c r="J561" s="1">
        <v>1.3232999999999999</v>
      </c>
      <c r="K561" s="1">
        <v>2.3429000000000002</v>
      </c>
      <c r="L561" s="1">
        <v>2.855</v>
      </c>
      <c r="M561" s="1">
        <v>2.1869999999999998</v>
      </c>
      <c r="N561" s="1">
        <v>1.3260000000000001</v>
      </c>
      <c r="O561" s="1">
        <v>645</v>
      </c>
      <c r="P561" s="1">
        <v>210.7</v>
      </c>
      <c r="Q561" s="1">
        <v>86.5</v>
      </c>
      <c r="R561" s="1">
        <v>8.7100000000000009</v>
      </c>
      <c r="S561" s="1">
        <v>88.7</v>
      </c>
      <c r="T561" s="1">
        <v>20.72</v>
      </c>
      <c r="U561" s="1">
        <v>5.68</v>
      </c>
      <c r="V561" s="1">
        <v>36</v>
      </c>
    </row>
    <row r="562" spans="2:22">
      <c r="B562" s="1">
        <v>38</v>
      </c>
      <c r="C562" s="1">
        <v>1.3071999999999999</v>
      </c>
      <c r="D562" s="108">
        <f t="shared" si="22"/>
        <v>189.59367359999999</v>
      </c>
      <c r="E562" s="1">
        <v>471</v>
      </c>
      <c r="F562" s="1">
        <f t="shared" si="23"/>
        <v>28.694404591104735</v>
      </c>
      <c r="G562" s="1">
        <v>3.4849999999999999E-2</v>
      </c>
      <c r="H562" s="1">
        <v>301.39</v>
      </c>
      <c r="I562" s="1">
        <v>612.57000000000005</v>
      </c>
      <c r="J562" s="1">
        <v>1.3412999999999999</v>
      </c>
      <c r="K562" s="1">
        <v>2.3414000000000001</v>
      </c>
      <c r="L562" s="1">
        <v>2.883</v>
      </c>
      <c r="M562" s="1">
        <v>2.2240000000000002</v>
      </c>
      <c r="N562" s="1">
        <v>1.337</v>
      </c>
      <c r="O562" s="1">
        <v>631</v>
      </c>
      <c r="P562" s="1">
        <v>209.7</v>
      </c>
      <c r="Q562" s="1">
        <v>84.7</v>
      </c>
      <c r="R562" s="1">
        <v>8.8000000000000007</v>
      </c>
      <c r="S562" s="1">
        <v>87.8</v>
      </c>
      <c r="T562" s="1">
        <v>21.07</v>
      </c>
      <c r="U562" s="1">
        <v>5.44</v>
      </c>
      <c r="V562" s="1">
        <v>38</v>
      </c>
    </row>
    <row r="563" spans="2:22">
      <c r="B563" s="1">
        <v>40</v>
      </c>
      <c r="C563" s="1">
        <v>1.3694</v>
      </c>
      <c r="D563" s="108">
        <f t="shared" si="22"/>
        <v>198.61503720000002</v>
      </c>
      <c r="E563" s="1">
        <v>467.5</v>
      </c>
      <c r="F563" s="1">
        <f t="shared" si="23"/>
        <v>30.165912518853695</v>
      </c>
      <c r="G563" s="1">
        <v>3.3149999999999999E-2</v>
      </c>
      <c r="H563" s="1">
        <v>307.14999999999998</v>
      </c>
      <c r="I563" s="1">
        <v>614.21</v>
      </c>
      <c r="J563" s="1">
        <v>1.3593999999999999</v>
      </c>
      <c r="K563" s="1">
        <v>2.3399000000000001</v>
      </c>
      <c r="L563" s="1">
        <v>2.9129999999999998</v>
      </c>
      <c r="M563" s="1">
        <v>2.2629999999999999</v>
      </c>
      <c r="N563" s="1">
        <v>1.349</v>
      </c>
      <c r="O563" s="1">
        <v>617</v>
      </c>
      <c r="P563" s="1">
        <v>208.6</v>
      </c>
      <c r="Q563" s="1">
        <v>82.8</v>
      </c>
      <c r="R563" s="1">
        <v>8.89</v>
      </c>
      <c r="S563" s="1">
        <v>86.9</v>
      </c>
      <c r="T563" s="1">
        <v>21.43</v>
      </c>
      <c r="U563" s="1">
        <v>5.21</v>
      </c>
      <c r="V563" s="1">
        <v>40</v>
      </c>
    </row>
    <row r="564" spans="2:22">
      <c r="B564" s="1">
        <v>42</v>
      </c>
      <c r="C564" s="1">
        <v>1.4337</v>
      </c>
      <c r="D564" s="108">
        <f t="shared" si="22"/>
        <v>207.94098060000002</v>
      </c>
      <c r="E564" s="1">
        <v>463.9</v>
      </c>
      <c r="F564" s="1">
        <f t="shared" si="23"/>
        <v>31.705770450221941</v>
      </c>
      <c r="G564" s="1">
        <v>3.1539999999999999E-2</v>
      </c>
      <c r="H564" s="1">
        <v>312.95999999999998</v>
      </c>
      <c r="I564" s="1">
        <v>615.80999999999995</v>
      </c>
      <c r="J564" s="1">
        <v>1.3774</v>
      </c>
      <c r="K564" s="1">
        <v>2.3384</v>
      </c>
      <c r="L564" s="1">
        <v>2.944</v>
      </c>
      <c r="M564" s="1">
        <v>2.3039999999999998</v>
      </c>
      <c r="N564" s="1">
        <v>1.3620000000000001</v>
      </c>
      <c r="O564" s="1">
        <v>603</v>
      </c>
      <c r="P564" s="1">
        <v>207.4</v>
      </c>
      <c r="Q564" s="1">
        <v>81</v>
      </c>
      <c r="R564" s="1">
        <v>8.99</v>
      </c>
      <c r="S564" s="1">
        <v>86</v>
      </c>
      <c r="T564" s="1">
        <v>21.81</v>
      </c>
      <c r="U564" s="1">
        <v>4.9800000000000004</v>
      </c>
      <c r="V564" s="1">
        <v>42</v>
      </c>
    </row>
    <row r="565" spans="2:22">
      <c r="B565" s="1">
        <v>44</v>
      </c>
      <c r="C565" s="1">
        <v>1.5002</v>
      </c>
      <c r="D565" s="108">
        <f t="shared" si="22"/>
        <v>217.58600760000002</v>
      </c>
      <c r="E565" s="1">
        <v>460.3</v>
      </c>
      <c r="F565" s="1">
        <f t="shared" si="23"/>
        <v>33.311125916055964</v>
      </c>
      <c r="G565" s="1">
        <v>3.0020000000000002E-2</v>
      </c>
      <c r="H565" s="1">
        <v>318.83</v>
      </c>
      <c r="I565" s="1">
        <v>617.36</v>
      </c>
      <c r="J565" s="1">
        <v>1.3955</v>
      </c>
      <c r="K565" s="1">
        <v>2.3368000000000002</v>
      </c>
      <c r="L565" s="1">
        <v>2.9769999999999999</v>
      </c>
      <c r="M565" s="1">
        <v>2.3479999999999999</v>
      </c>
      <c r="N565" s="1">
        <v>1.375</v>
      </c>
      <c r="O565" s="1">
        <v>589</v>
      </c>
      <c r="P565" s="1">
        <v>206.2</v>
      </c>
      <c r="Q565" s="1">
        <v>79.3</v>
      </c>
      <c r="R565" s="1">
        <v>9.08</v>
      </c>
      <c r="S565" s="1">
        <v>85.2</v>
      </c>
      <c r="T565" s="1">
        <v>22.2</v>
      </c>
      <c r="U565" s="1">
        <v>4.76</v>
      </c>
      <c r="V565" s="1">
        <v>44</v>
      </c>
    </row>
    <row r="566" spans="2:22">
      <c r="B566" s="1">
        <v>46</v>
      </c>
      <c r="C566" s="1">
        <v>1.569</v>
      </c>
      <c r="D566" s="108">
        <f t="shared" si="22"/>
        <v>227.56462200000001</v>
      </c>
      <c r="E566" s="1">
        <v>456.5</v>
      </c>
      <c r="F566" s="1">
        <f t="shared" si="23"/>
        <v>35.001750087504377</v>
      </c>
      <c r="G566" s="1">
        <v>2.8570000000000002E-2</v>
      </c>
      <c r="H566" s="1">
        <v>324.76</v>
      </c>
      <c r="I566" s="1">
        <v>618.86</v>
      </c>
      <c r="J566" s="1">
        <v>1.4137</v>
      </c>
      <c r="K566" s="1">
        <v>2.3351999999999999</v>
      </c>
      <c r="L566" s="1">
        <v>3.012</v>
      </c>
      <c r="M566" s="1">
        <v>2.395</v>
      </c>
      <c r="N566" s="1">
        <v>1.391</v>
      </c>
      <c r="O566" s="1">
        <v>575</v>
      </c>
      <c r="P566" s="1">
        <v>204.9</v>
      </c>
      <c r="Q566" s="1">
        <v>77.5</v>
      </c>
      <c r="R566" s="1">
        <v>9.19</v>
      </c>
      <c r="S566" s="1">
        <v>84.3</v>
      </c>
      <c r="T566" s="1">
        <v>22.6</v>
      </c>
      <c r="U566" s="1">
        <v>4.53</v>
      </c>
      <c r="V566" s="1">
        <v>46</v>
      </c>
    </row>
    <row r="567" spans="2:22">
      <c r="B567" s="1">
        <v>48</v>
      </c>
      <c r="C567" s="1">
        <v>1.64</v>
      </c>
      <c r="D567" s="108">
        <f t="shared" si="22"/>
        <v>237.86232000000001</v>
      </c>
      <c r="E567" s="1">
        <v>452.7</v>
      </c>
      <c r="F567" s="1">
        <f t="shared" si="23"/>
        <v>36.764705882352942</v>
      </c>
      <c r="G567" s="1">
        <v>2.7199999999999998E-2</v>
      </c>
      <c r="H567" s="1">
        <v>330.75</v>
      </c>
      <c r="I567" s="1">
        <v>620.29</v>
      </c>
      <c r="J567" s="1">
        <v>1.4319</v>
      </c>
      <c r="K567" s="1">
        <v>2.3334999999999999</v>
      </c>
      <c r="L567" s="1">
        <v>3.05</v>
      </c>
      <c r="M567" s="1">
        <v>2.4449999999999998</v>
      </c>
      <c r="N567" s="1">
        <v>1.407</v>
      </c>
      <c r="O567" s="1">
        <v>561</v>
      </c>
      <c r="P567" s="1">
        <v>203.6</v>
      </c>
      <c r="Q567" s="1">
        <v>75.8</v>
      </c>
      <c r="R567" s="1">
        <v>9.2899999999999991</v>
      </c>
      <c r="S567" s="1">
        <v>83.5</v>
      </c>
      <c r="T567" s="1">
        <v>23.03</v>
      </c>
      <c r="U567" s="1">
        <v>4.3099999999999996</v>
      </c>
      <c r="V567" s="1">
        <v>48</v>
      </c>
    </row>
    <row r="568" spans="2:22">
      <c r="B568" s="1">
        <v>50</v>
      </c>
      <c r="C568" s="1">
        <v>1.7133</v>
      </c>
      <c r="D568" s="108">
        <f t="shared" si="22"/>
        <v>248.49360540000004</v>
      </c>
      <c r="E568" s="1">
        <v>448.9</v>
      </c>
      <c r="F568" s="1">
        <f t="shared" si="23"/>
        <v>38.624951718810351</v>
      </c>
      <c r="G568" s="1">
        <v>2.589E-2</v>
      </c>
      <c r="H568" s="1">
        <v>336.8</v>
      </c>
      <c r="I568" s="1">
        <v>621.66</v>
      </c>
      <c r="J568" s="1">
        <v>1.4501999999999999</v>
      </c>
      <c r="K568" s="1">
        <v>2.3317000000000001</v>
      </c>
      <c r="L568" s="1">
        <v>3.089</v>
      </c>
      <c r="M568" s="1">
        <v>2.4990000000000001</v>
      </c>
      <c r="N568" s="1">
        <v>1.425</v>
      </c>
      <c r="O568" s="1">
        <v>547</v>
      </c>
      <c r="P568" s="1">
        <v>202.2</v>
      </c>
      <c r="Q568" s="1">
        <v>74.099999999999994</v>
      </c>
      <c r="R568" s="1">
        <v>9.4</v>
      </c>
      <c r="S568" s="1">
        <v>82.6</v>
      </c>
      <c r="T568" s="1">
        <v>23.47</v>
      </c>
      <c r="U568" s="1">
        <v>4.09</v>
      </c>
      <c r="V568" s="1">
        <v>50</v>
      </c>
    </row>
    <row r="569" spans="2:22">
      <c r="B569" s="1">
        <v>55</v>
      </c>
      <c r="C569" s="1">
        <v>1.9072</v>
      </c>
      <c r="D569" s="108">
        <f t="shared" si="22"/>
        <v>276.61647360000001</v>
      </c>
      <c r="E569" s="1">
        <v>438.8</v>
      </c>
      <c r="F569" s="1">
        <f t="shared" si="23"/>
        <v>43.706293706293707</v>
      </c>
      <c r="G569" s="1">
        <v>2.2880000000000001E-2</v>
      </c>
      <c r="H569" s="1">
        <v>352.23</v>
      </c>
      <c r="I569" s="1">
        <v>624.77</v>
      </c>
      <c r="J569" s="1">
        <v>1.4962</v>
      </c>
      <c r="K569" s="1">
        <v>2.3268</v>
      </c>
      <c r="L569" s="1">
        <v>3.2010000000000001</v>
      </c>
      <c r="M569" s="1">
        <v>2.6520000000000001</v>
      </c>
      <c r="N569" s="1">
        <v>1.478</v>
      </c>
      <c r="O569" s="1">
        <v>511</v>
      </c>
      <c r="P569" s="1">
        <v>198.3</v>
      </c>
      <c r="Q569" s="1">
        <v>69.8</v>
      </c>
      <c r="R569" s="1">
        <v>9.6999999999999993</v>
      </c>
      <c r="S569" s="1">
        <v>80.5</v>
      </c>
      <c r="T569" s="1">
        <v>24.65</v>
      </c>
      <c r="U569" s="1">
        <v>3.55</v>
      </c>
      <c r="V569" s="1">
        <v>55</v>
      </c>
    </row>
    <row r="570" spans="2:22">
      <c r="B570" s="1">
        <v>60</v>
      </c>
      <c r="C570" s="1">
        <v>2.1168</v>
      </c>
      <c r="D570" s="108">
        <f t="shared" si="22"/>
        <v>307.01643840000003</v>
      </c>
      <c r="E570" s="1">
        <v>428</v>
      </c>
      <c r="F570" s="1">
        <f t="shared" si="23"/>
        <v>49.504950495049506</v>
      </c>
      <c r="G570" s="1">
        <v>2.0199999999999999E-2</v>
      </c>
      <c r="H570" s="1">
        <v>368.14</v>
      </c>
      <c r="I570" s="1">
        <v>627.36</v>
      </c>
      <c r="J570" s="1">
        <v>1.5428999999999999</v>
      </c>
      <c r="K570" s="1">
        <v>2.3210000000000002</v>
      </c>
      <c r="L570" s="1">
        <v>3.3370000000000002</v>
      </c>
      <c r="M570" s="1">
        <v>2.8410000000000002</v>
      </c>
      <c r="N570" s="1">
        <v>1.548</v>
      </c>
      <c r="O570" s="1">
        <v>474</v>
      </c>
      <c r="P570" s="1">
        <v>194.1</v>
      </c>
      <c r="Q570" s="1">
        <v>65.7</v>
      </c>
      <c r="R570" s="1">
        <v>10.029999999999999</v>
      </c>
      <c r="S570" s="1">
        <v>78.400000000000006</v>
      </c>
      <c r="T570" s="1">
        <v>26</v>
      </c>
      <c r="U570" s="1">
        <v>3.02</v>
      </c>
      <c r="V570" s="1">
        <v>60</v>
      </c>
    </row>
    <row r="571" spans="2:22">
      <c r="B571" s="1">
        <v>65</v>
      </c>
      <c r="C571" s="1">
        <v>2.343</v>
      </c>
      <c r="D571" s="108">
        <f t="shared" si="22"/>
        <v>339.82403400000004</v>
      </c>
      <c r="E571" s="1">
        <v>416.3</v>
      </c>
      <c r="F571" s="1">
        <f t="shared" si="23"/>
        <v>56.148231330713081</v>
      </c>
      <c r="G571" s="1">
        <v>1.7809999999999999E-2</v>
      </c>
      <c r="H571" s="1">
        <v>384.6</v>
      </c>
      <c r="I571" s="1">
        <v>629.29</v>
      </c>
      <c r="J571" s="1">
        <v>1.5903</v>
      </c>
      <c r="K571" s="1">
        <v>2.3138999999999998</v>
      </c>
      <c r="L571" s="1">
        <v>3.5089999999999999</v>
      </c>
      <c r="M571" s="1">
        <v>3.0859999999999999</v>
      </c>
      <c r="N571" s="1">
        <v>1.641</v>
      </c>
      <c r="O571" s="1">
        <v>437</v>
      </c>
      <c r="P571" s="1">
        <v>189.3</v>
      </c>
      <c r="Q571" s="1">
        <v>61.5</v>
      </c>
      <c r="R571" s="1">
        <v>10.42</v>
      </c>
      <c r="S571" s="1">
        <v>76.3</v>
      </c>
      <c r="T571" s="1">
        <v>27.56</v>
      </c>
      <c r="U571" s="1">
        <v>2.52</v>
      </c>
      <c r="V571" s="1">
        <v>65</v>
      </c>
    </row>
    <row r="572" spans="2:22">
      <c r="B572" s="1">
        <v>70</v>
      </c>
      <c r="C572" s="1">
        <v>2.5868000000000002</v>
      </c>
      <c r="D572" s="108">
        <f t="shared" si="22"/>
        <v>375.18429840000005</v>
      </c>
      <c r="E572" s="1">
        <v>403.6</v>
      </c>
      <c r="F572" s="1">
        <f t="shared" si="23"/>
        <v>63.897763578274756</v>
      </c>
      <c r="G572" s="1">
        <v>1.5650000000000001E-2</v>
      </c>
      <c r="H572" s="1">
        <v>401.75</v>
      </c>
      <c r="I572" s="1">
        <v>630.37</v>
      </c>
      <c r="J572" s="1">
        <v>1.6389</v>
      </c>
      <c r="K572" s="1">
        <v>2.3052000000000001</v>
      </c>
      <c r="L572" s="1">
        <v>3.7349999999999999</v>
      </c>
      <c r="M572" s="1">
        <v>3.4209999999999998</v>
      </c>
      <c r="N572" s="1">
        <v>1.7729999999999999</v>
      </c>
      <c r="O572" s="1">
        <v>398</v>
      </c>
      <c r="P572" s="1">
        <v>184</v>
      </c>
      <c r="Q572" s="1">
        <v>57.4</v>
      </c>
      <c r="R572" s="1">
        <v>10.86</v>
      </c>
      <c r="S572" s="1">
        <v>74.3</v>
      </c>
      <c r="T572" s="1">
        <v>29.41</v>
      </c>
      <c r="U572" s="1">
        <v>2.0299999999999998</v>
      </c>
      <c r="V572" s="1">
        <v>70</v>
      </c>
    </row>
    <row r="573" spans="2:22">
      <c r="B573" s="1">
        <v>75</v>
      </c>
      <c r="C573" s="1">
        <v>2.8492999999999999</v>
      </c>
      <c r="D573" s="108">
        <f t="shared" si="22"/>
        <v>413.25677340000004</v>
      </c>
      <c r="E573" s="1">
        <v>389.5</v>
      </c>
      <c r="F573" s="1">
        <f t="shared" si="23"/>
        <v>73.152889539136794</v>
      </c>
      <c r="G573" s="1">
        <v>1.367E-2</v>
      </c>
      <c r="H573" s="1">
        <v>419.76</v>
      </c>
      <c r="I573" s="1">
        <v>630.33000000000004</v>
      </c>
      <c r="J573" s="1">
        <v>1.6891</v>
      </c>
      <c r="K573" s="1">
        <v>2.2938999999999998</v>
      </c>
      <c r="L573" s="1">
        <v>4.0529999999999999</v>
      </c>
      <c r="M573" s="1">
        <v>3.9140000000000001</v>
      </c>
      <c r="N573" s="1">
        <v>1.97</v>
      </c>
      <c r="O573" s="1">
        <v>358</v>
      </c>
      <c r="P573" s="1">
        <v>178.2</v>
      </c>
      <c r="Q573" s="1">
        <v>53.2</v>
      </c>
      <c r="R573" s="1">
        <v>11.4</v>
      </c>
      <c r="S573" s="1">
        <v>72.2</v>
      </c>
      <c r="T573" s="1">
        <v>31.71</v>
      </c>
      <c r="U573" s="1">
        <v>1.56</v>
      </c>
      <c r="V573" s="1">
        <v>75</v>
      </c>
    </row>
    <row r="574" spans="2:22">
      <c r="B574" s="1">
        <v>80</v>
      </c>
      <c r="C574" s="1">
        <v>3.1318999999999999</v>
      </c>
      <c r="D574" s="108">
        <f t="shared" si="22"/>
        <v>454.24451220000003</v>
      </c>
      <c r="E574" s="1">
        <v>373.3</v>
      </c>
      <c r="F574" s="1">
        <f t="shared" si="23"/>
        <v>84.388185654008439</v>
      </c>
      <c r="G574" s="1">
        <v>1.1849999999999999E-2</v>
      </c>
      <c r="H574" s="1">
        <v>438.93</v>
      </c>
      <c r="I574" s="1">
        <v>628.73</v>
      </c>
      <c r="J574" s="1">
        <v>1.7417</v>
      </c>
      <c r="K574" s="1">
        <v>2.2791000000000001</v>
      </c>
      <c r="L574" s="1">
        <v>4.5449999999999999</v>
      </c>
      <c r="M574" s="1">
        <v>4.7069999999999999</v>
      </c>
      <c r="N574" s="1">
        <v>2.2879999999999998</v>
      </c>
      <c r="O574" s="1">
        <v>315</v>
      </c>
      <c r="P574" s="1">
        <v>171.6</v>
      </c>
      <c r="Q574" s="1">
        <v>48.8</v>
      </c>
      <c r="R574" s="1">
        <v>12.07</v>
      </c>
      <c r="S574" s="1">
        <v>70.2</v>
      </c>
      <c r="T574" s="1">
        <v>34.75</v>
      </c>
      <c r="U574" s="1">
        <v>1.1200000000000001</v>
      </c>
      <c r="V574" s="1">
        <v>80</v>
      </c>
    </row>
    <row r="575" spans="2:22">
      <c r="B575" s="1">
        <v>85</v>
      </c>
      <c r="C575" s="1">
        <v>3.4361000000000002</v>
      </c>
      <c r="D575" s="108">
        <f t="shared" si="22"/>
        <v>498.36507180000007</v>
      </c>
      <c r="E575" s="1">
        <v>354</v>
      </c>
      <c r="F575" s="1">
        <f t="shared" si="23"/>
        <v>98.814229249011859</v>
      </c>
      <c r="G575" s="1">
        <v>1.0120000000000001E-2</v>
      </c>
      <c r="H575" s="1">
        <v>459.81</v>
      </c>
      <c r="I575" s="1">
        <v>624.75</v>
      </c>
      <c r="J575" s="1">
        <v>1.798</v>
      </c>
      <c r="K575" s="1">
        <v>2.2585999999999999</v>
      </c>
      <c r="L575" s="1">
        <v>5.4329999999999998</v>
      </c>
      <c r="M575" s="1">
        <v>6.1820000000000004</v>
      </c>
      <c r="N575" s="1">
        <v>2.883</v>
      </c>
      <c r="O575" s="1">
        <v>269</v>
      </c>
      <c r="P575" s="1">
        <v>164.1</v>
      </c>
      <c r="Q575" s="1">
        <v>44.1</v>
      </c>
      <c r="R575" s="1">
        <v>12.96</v>
      </c>
      <c r="S575" s="1">
        <v>68.3</v>
      </c>
      <c r="T575" s="1">
        <v>39.130000000000003</v>
      </c>
      <c r="U575" s="1">
        <v>0.72</v>
      </c>
      <c r="V575" s="1">
        <v>85</v>
      </c>
    </row>
    <row r="576" spans="2:22">
      <c r="B576" s="1">
        <v>90</v>
      </c>
      <c r="C576" s="1">
        <v>3.7641</v>
      </c>
      <c r="D576" s="108">
        <f t="shared" si="22"/>
        <v>545.93753580000009</v>
      </c>
      <c r="E576" s="1">
        <v>328.8</v>
      </c>
      <c r="F576" s="1">
        <f t="shared" si="23"/>
        <v>119.04761904761905</v>
      </c>
      <c r="G576" s="1">
        <v>8.3999999999999995E-3</v>
      </c>
      <c r="H576" s="1">
        <v>483.71</v>
      </c>
      <c r="I576" s="1">
        <v>616.47</v>
      </c>
      <c r="J576" s="1">
        <v>1.8615999999999999</v>
      </c>
      <c r="K576" s="1">
        <v>2.2271999999999998</v>
      </c>
      <c r="L576" s="1">
        <v>7.6230000000000002</v>
      </c>
      <c r="M576" s="1">
        <v>9.8879999999999999</v>
      </c>
      <c r="N576" s="1">
        <v>4.3739999999999997</v>
      </c>
      <c r="O576" s="1">
        <v>218</v>
      </c>
      <c r="P576" s="1">
        <v>155.5</v>
      </c>
      <c r="Q576" s="1">
        <v>38.799999999999997</v>
      </c>
      <c r="R576" s="1">
        <v>14.28</v>
      </c>
      <c r="S576" s="1">
        <v>67.099999999999994</v>
      </c>
      <c r="T576" s="1">
        <v>46.66</v>
      </c>
      <c r="U576" s="1">
        <v>0.36</v>
      </c>
      <c r="V576" s="1">
        <v>90</v>
      </c>
    </row>
    <row r="577" spans="2:22">
      <c r="B577" s="1">
        <v>95</v>
      </c>
      <c r="C577" s="1">
        <v>4.1195000000000004</v>
      </c>
      <c r="D577" s="108">
        <f t="shared" si="22"/>
        <v>597.48404100000005</v>
      </c>
      <c r="E577" s="1">
        <v>286.5</v>
      </c>
      <c r="F577" s="1">
        <f t="shared" si="23"/>
        <v>156.25</v>
      </c>
      <c r="G577" s="1">
        <v>6.4000000000000003E-3</v>
      </c>
      <c r="H577" s="1">
        <v>516.33000000000004</v>
      </c>
      <c r="I577" s="1">
        <v>595.80999999999995</v>
      </c>
      <c r="J577" s="1">
        <v>1.9476</v>
      </c>
      <c r="K577" s="1">
        <v>2.1635</v>
      </c>
      <c r="L577" s="1">
        <v>23.59</v>
      </c>
      <c r="M577" s="1">
        <v>36.07</v>
      </c>
      <c r="N577" s="1">
        <v>14.62</v>
      </c>
      <c r="O577" s="1">
        <v>158</v>
      </c>
      <c r="P577" s="1">
        <v>144.1</v>
      </c>
      <c r="Q577" s="1">
        <v>31.4</v>
      </c>
      <c r="R577" s="1">
        <v>17</v>
      </c>
      <c r="S577" s="1">
        <v>73.599999999999994</v>
      </c>
      <c r="T577" s="1">
        <v>69.48</v>
      </c>
      <c r="U577" s="1">
        <v>0.06</v>
      </c>
      <c r="V577" s="1">
        <v>95</v>
      </c>
    </row>
    <row r="578" spans="2:22">
      <c r="B578" s="1" t="s">
        <v>465</v>
      </c>
      <c r="C578" s="1">
        <v>4.2511999999999999</v>
      </c>
      <c r="D578" s="108">
        <f t="shared" si="22"/>
        <v>616.58554560000005</v>
      </c>
      <c r="E578" s="1">
        <v>220.5</v>
      </c>
      <c r="F578" s="1">
        <f t="shared" si="23"/>
        <v>220.26431718061676</v>
      </c>
      <c r="G578" s="1">
        <v>4.5399999999999998E-3</v>
      </c>
      <c r="H578" s="1">
        <v>555.24</v>
      </c>
      <c r="I578" s="1">
        <v>555.24</v>
      </c>
      <c r="J578" s="1">
        <v>2.0516000000000001</v>
      </c>
      <c r="K578" s="1">
        <v>2.0516000000000001</v>
      </c>
      <c r="L578" s="1" t="s">
        <v>310</v>
      </c>
      <c r="M578" s="1" t="s">
        <v>310</v>
      </c>
      <c r="N578" s="1" t="s">
        <v>310</v>
      </c>
      <c r="O578" s="1">
        <v>0</v>
      </c>
      <c r="P578" s="1">
        <v>0</v>
      </c>
      <c r="Q578" s="1" t="s">
        <v>311</v>
      </c>
      <c r="R578" s="1" t="s">
        <v>311</v>
      </c>
      <c r="S578" s="1" t="s">
        <v>310</v>
      </c>
      <c r="T578" s="1" t="s">
        <v>310</v>
      </c>
      <c r="U578" s="1">
        <v>0</v>
      </c>
      <c r="V578" s="1">
        <v>96.74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EA3FB-F6BB-479D-9E0A-1C62CB84D2FE}">
  <sheetPr codeName="Sheet1"/>
  <dimension ref="A4:W16"/>
  <sheetViews>
    <sheetView workbookViewId="0">
      <selection activeCell="D16" sqref="D16"/>
    </sheetView>
  </sheetViews>
  <sheetFormatPr defaultColWidth="9.21875" defaultRowHeight="14.4"/>
  <cols>
    <col min="1" max="3" width="8.77734375" style="1"/>
    <col min="4" max="4" width="11.77734375" style="1" bestFit="1" customWidth="1"/>
    <col min="5" max="6" width="8.77734375" style="1"/>
    <col min="7" max="7" width="9.5546875" style="1" bestFit="1" customWidth="1"/>
    <col min="8" max="8" width="9.5546875" style="1" customWidth="1"/>
    <col min="9" max="9" width="6" style="1" customWidth="1"/>
    <col min="10" max="10" width="10.77734375" style="1" customWidth="1"/>
    <col min="11" max="11" width="9.77734375" style="1" customWidth="1"/>
    <col min="12" max="12" width="3.21875" style="1" customWidth="1"/>
    <col min="13" max="13" width="14.77734375" style="1" customWidth="1"/>
    <col min="14" max="15" width="12.44140625" style="1" customWidth="1"/>
    <col min="16" max="16" width="10.5546875" style="1" customWidth="1"/>
    <col min="17" max="17" width="8.77734375" style="1"/>
    <col min="18" max="18" width="14.44140625" style="1" customWidth="1"/>
    <col min="19" max="22" width="8.77734375" style="1"/>
    <col min="23" max="23" width="12.77734375" customWidth="1"/>
  </cols>
  <sheetData>
    <row r="4" spans="1:23">
      <c r="A4" s="31" t="s">
        <v>126</v>
      </c>
      <c r="B4" s="31" t="s">
        <v>127</v>
      </c>
      <c r="C4" s="31" t="s">
        <v>128</v>
      </c>
      <c r="D4" s="31" t="s">
        <v>129</v>
      </c>
      <c r="E4" s="31" t="s">
        <v>130</v>
      </c>
      <c r="F4" s="31" t="s">
        <v>131</v>
      </c>
      <c r="G4" s="34" t="s">
        <v>132</v>
      </c>
      <c r="H4" s="34" t="s">
        <v>133</v>
      </c>
      <c r="I4" s="34" t="s">
        <v>134</v>
      </c>
      <c r="J4" s="34" t="s">
        <v>135</v>
      </c>
      <c r="K4" s="34" t="s">
        <v>136</v>
      </c>
      <c r="L4" s="31"/>
      <c r="M4" s="31" t="s">
        <v>137</v>
      </c>
      <c r="N4" s="31" t="s">
        <v>138</v>
      </c>
      <c r="O4" s="31" t="s">
        <v>139</v>
      </c>
      <c r="P4" s="31" t="s">
        <v>140</v>
      </c>
      <c r="Q4" s="31" t="s">
        <v>141</v>
      </c>
      <c r="R4" s="31" t="s">
        <v>142</v>
      </c>
      <c r="S4" s="31" t="s">
        <v>143</v>
      </c>
      <c r="T4" s="31" t="s">
        <v>144</v>
      </c>
      <c r="U4" s="31" t="s">
        <v>145</v>
      </c>
      <c r="V4" s="31" t="s">
        <v>146</v>
      </c>
    </row>
    <row r="5" spans="1:23">
      <c r="A5" s="1">
        <v>-8</v>
      </c>
      <c r="B5" s="1">
        <v>40</v>
      </c>
      <c r="C5" s="1">
        <v>18.3</v>
      </c>
      <c r="D5" s="1">
        <v>5.6</v>
      </c>
      <c r="E5" s="1">
        <f>C5-A5</f>
        <v>26.3</v>
      </c>
      <c r="F5" s="1">
        <v>0</v>
      </c>
      <c r="G5" s="33">
        <f>SQRT(3)*230*S5</f>
        <v>14142.194843799884</v>
      </c>
      <c r="H5" s="33">
        <f>G5*I5</f>
        <v>10700</v>
      </c>
      <c r="I5" s="32">
        <f>O5/G5</f>
        <v>0.75660108760918499</v>
      </c>
      <c r="J5" s="32">
        <f>(273.15+A5)/(B5-A5)</f>
        <v>5.5239583333333329</v>
      </c>
      <c r="K5" s="105">
        <v>2.98</v>
      </c>
      <c r="M5" s="1">
        <v>31500</v>
      </c>
      <c r="N5" s="1">
        <v>28800</v>
      </c>
      <c r="O5" s="1">
        <v>10700</v>
      </c>
      <c r="P5" s="105">
        <v>2.94</v>
      </c>
      <c r="Q5" s="1">
        <v>2.69</v>
      </c>
      <c r="R5" s="1">
        <v>664</v>
      </c>
      <c r="S5" s="1">
        <v>35.5</v>
      </c>
      <c r="T5" s="1">
        <v>68.8</v>
      </c>
      <c r="U5" s="1">
        <v>40</v>
      </c>
      <c r="V5" s="1">
        <v>106</v>
      </c>
      <c r="W5" t="s">
        <v>147</v>
      </c>
    </row>
    <row r="6" spans="1:23">
      <c r="A6" s="1">
        <v>-8</v>
      </c>
      <c r="B6" s="1">
        <v>30</v>
      </c>
      <c r="C6" s="1">
        <v>18.3</v>
      </c>
      <c r="D6" s="1">
        <v>5.6</v>
      </c>
      <c r="E6" s="1">
        <f>C6-A6</f>
        <v>26.3</v>
      </c>
      <c r="F6" s="1">
        <v>0</v>
      </c>
      <c r="G6" s="33">
        <f>SQRT(3)*230*S6</f>
        <v>12947.079786577358</v>
      </c>
      <c r="H6" s="33">
        <f t="shared" ref="H6:H9" si="0">G6*I6</f>
        <v>9250</v>
      </c>
      <c r="I6" s="32">
        <f>O6/G6</f>
        <v>0.71444682140522253</v>
      </c>
      <c r="J6" s="32">
        <f t="shared" ref="J6:J9" si="1">(273.15+A6)/(B6-A6)</f>
        <v>6.977631578947368</v>
      </c>
      <c r="M6" s="1">
        <v>35000</v>
      </c>
      <c r="N6" s="1">
        <v>32500</v>
      </c>
      <c r="O6" s="1">
        <v>9250</v>
      </c>
      <c r="P6" s="1">
        <v>3.78</v>
      </c>
      <c r="Q6" s="1">
        <v>3.51</v>
      </c>
      <c r="R6" s="1">
        <v>689</v>
      </c>
      <c r="S6" s="1">
        <v>32.5</v>
      </c>
      <c r="T6" s="1">
        <v>66.5</v>
      </c>
      <c r="U6" s="1">
        <v>30</v>
      </c>
      <c r="V6" s="1">
        <v>91</v>
      </c>
      <c r="W6" t="s">
        <v>148</v>
      </c>
    </row>
    <row r="7" spans="1:23">
      <c r="A7" s="1">
        <v>-13</v>
      </c>
      <c r="B7" s="1">
        <v>40</v>
      </c>
      <c r="C7" s="1">
        <v>18.3</v>
      </c>
      <c r="D7" s="1">
        <v>5.6</v>
      </c>
      <c r="E7" s="1">
        <f t="shared" ref="E7" si="2">C7-A7</f>
        <v>31.3</v>
      </c>
      <c r="F7" s="1">
        <v>0</v>
      </c>
      <c r="G7" s="33">
        <f>SQRT(3)*230*S7</f>
        <v>13425.125809466368</v>
      </c>
      <c r="H7" s="33">
        <f t="shared" si="0"/>
        <v>9900</v>
      </c>
      <c r="I7" s="32">
        <f>O7/G7</f>
        <v>0.73742325699616762</v>
      </c>
      <c r="J7" s="32">
        <f t="shared" si="1"/>
        <v>4.9084905660377354</v>
      </c>
      <c r="M7" s="1">
        <v>25500</v>
      </c>
      <c r="N7" s="1">
        <v>22900</v>
      </c>
      <c r="O7" s="1">
        <v>9900</v>
      </c>
      <c r="P7" s="1">
        <v>2.58</v>
      </c>
      <c r="Q7" s="1">
        <v>2.31</v>
      </c>
      <c r="R7" s="1">
        <v>534</v>
      </c>
      <c r="S7" s="1">
        <v>33.700000000000003</v>
      </c>
      <c r="T7" s="1">
        <v>68.7</v>
      </c>
      <c r="U7" s="1">
        <v>40</v>
      </c>
      <c r="V7" s="1">
        <v>117</v>
      </c>
      <c r="W7" t="s">
        <v>149</v>
      </c>
    </row>
    <row r="8" spans="1:23">
      <c r="A8" s="1">
        <v>-8</v>
      </c>
      <c r="B8" s="1">
        <v>40</v>
      </c>
      <c r="C8" s="1">
        <v>18.3</v>
      </c>
      <c r="D8" s="1">
        <v>5.6</v>
      </c>
      <c r="E8" s="1">
        <f t="shared" ref="E8" si="3">C8-A8</f>
        <v>26.3</v>
      </c>
      <c r="F8" s="1">
        <v>3</v>
      </c>
      <c r="G8" s="33">
        <f>SQRT(3)*230*S8</f>
        <v>14142.194843799884</v>
      </c>
      <c r="H8" s="33">
        <f t="shared" si="0"/>
        <v>10700</v>
      </c>
      <c r="I8" s="32">
        <f>O8/G8</f>
        <v>0.75660108760918499</v>
      </c>
      <c r="J8" s="32">
        <f t="shared" si="1"/>
        <v>5.5239583333333329</v>
      </c>
      <c r="M8" s="1">
        <v>32000</v>
      </c>
      <c r="N8" s="1">
        <v>29500</v>
      </c>
      <c r="O8" s="1">
        <v>10700</v>
      </c>
      <c r="P8" s="1">
        <v>2.99</v>
      </c>
      <c r="Q8" s="1">
        <v>2.76</v>
      </c>
      <c r="R8" s="1">
        <v>664</v>
      </c>
      <c r="S8" s="1">
        <v>35.5</v>
      </c>
      <c r="T8" s="1">
        <v>68.8</v>
      </c>
      <c r="U8" s="1">
        <v>37</v>
      </c>
      <c r="V8" s="1">
        <v>106</v>
      </c>
      <c r="W8" t="s">
        <v>150</v>
      </c>
    </row>
    <row r="9" spans="1:23">
      <c r="A9" s="1">
        <v>-8</v>
      </c>
      <c r="B9" s="1">
        <v>40</v>
      </c>
      <c r="C9" s="1">
        <v>4</v>
      </c>
      <c r="D9" s="1">
        <v>5.6</v>
      </c>
      <c r="E9" s="1">
        <f t="shared" ref="E9" si="4">C9-A9</f>
        <v>12</v>
      </c>
      <c r="F9" s="1">
        <v>3</v>
      </c>
      <c r="G9" s="33">
        <f>SQRT(3)*230*S9</f>
        <v>14142.194843799884</v>
      </c>
      <c r="H9" s="33">
        <f t="shared" si="0"/>
        <v>10700</v>
      </c>
      <c r="I9" s="32">
        <f>O9/G9</f>
        <v>0.75660108760918499</v>
      </c>
      <c r="J9" s="32">
        <f t="shared" si="1"/>
        <v>5.5239583333333329</v>
      </c>
      <c r="M9" s="1">
        <v>31500</v>
      </c>
      <c r="N9" s="1">
        <v>30500</v>
      </c>
      <c r="O9" s="1">
        <v>10700</v>
      </c>
      <c r="P9" s="1">
        <v>2.94</v>
      </c>
      <c r="Q9" s="1">
        <v>2.85</v>
      </c>
      <c r="R9" s="1">
        <v>701</v>
      </c>
      <c r="S9" s="1">
        <v>35.5</v>
      </c>
      <c r="T9" s="1">
        <v>68.099999999999994</v>
      </c>
      <c r="U9" s="1">
        <v>40</v>
      </c>
      <c r="V9" s="1">
        <v>94</v>
      </c>
      <c r="W9" t="s">
        <v>151</v>
      </c>
    </row>
    <row r="11" spans="1:23">
      <c r="R11" s="1">
        <f>R5/3600</f>
        <v>0.18444444444444444</v>
      </c>
    </row>
    <row r="13" spans="1:23">
      <c r="O13" s="1">
        <f>31500/12000</f>
        <v>2.625</v>
      </c>
    </row>
    <row r="16" spans="1:23">
      <c r="D16" s="1">
        <f>5*EXP(-1)</f>
        <v>1.8393972058572117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D8D11-690E-4BDD-B9F5-947420FC30D7}">
  <sheetPr codeName="Hoja7"/>
  <dimension ref="A1:C2"/>
  <sheetViews>
    <sheetView workbookViewId="0">
      <selection activeCell="C16" sqref="C16"/>
    </sheetView>
  </sheetViews>
  <sheetFormatPr defaultColWidth="11.5546875" defaultRowHeight="14.4"/>
  <cols>
    <col min="1" max="1" width="21.44140625" customWidth="1"/>
  </cols>
  <sheetData>
    <row r="1" spans="1:3">
      <c r="A1" s="147">
        <v>-7.4096351462634624</v>
      </c>
      <c r="B1" s="147">
        <v>43.375969470364133</v>
      </c>
      <c r="C1" s="147"/>
    </row>
    <row r="2" spans="1:3">
      <c r="A2" s="147">
        <v>582.26633432410063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Layout Actual</vt:lpstr>
      <vt:lpstr>Layout Futuro</vt:lpstr>
      <vt:lpstr>Tablas</vt:lpstr>
      <vt:lpstr>Hoja2</vt:lpstr>
      <vt:lpstr>Hoja1</vt:lpstr>
      <vt:lpstr>HojaF</vt:lpstr>
      <vt:lpstr>Calculos</vt:lpstr>
      <vt:lpstr>Hoja3</vt:lpstr>
      <vt:lpstr>TsatBT</vt:lpstr>
      <vt:lpstr>TSatBTp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D Cardenas P</dc:creator>
  <cp:keywords/>
  <dc:description/>
  <cp:lastModifiedBy>CARDENAS P OSCAR D</cp:lastModifiedBy>
  <cp:revision/>
  <dcterms:created xsi:type="dcterms:W3CDTF">2022-04-11T18:35:36Z</dcterms:created>
  <dcterms:modified xsi:type="dcterms:W3CDTF">2024-11-15T02:52:21Z</dcterms:modified>
  <cp:category/>
  <cp:contentStatus/>
</cp:coreProperties>
</file>