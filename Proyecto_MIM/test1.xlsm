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greenyellow2-my.sharepoint.com/personal/ocardenas_greenyellow_com_co/Documents/Data/Descargas/Proyecto_MIM/"/>
    </mc:Choice>
  </mc:AlternateContent>
  <xr:revisionPtr revIDLastSave="5" documentId="11_BBCFA7CDDB698B35E9AF7F8BBE31E6DB74E9F1E7" xr6:coauthVersionLast="47" xr6:coauthVersionMax="47" xr10:uidLastSave="{CD43579B-81F0-4F76-AFBD-E17D698D1115}"/>
  <bookViews>
    <workbookView minimized="1" xWindow="1740" yWindow="1740" windowWidth="14400" windowHeight="7360" xr2:uid="{00000000-000D-0000-FFFF-FFFF00000000}"/>
  </bookViews>
  <sheets>
    <sheet name="Hoja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1" i="1" l="1"/>
  <c r="K160" i="1"/>
  <c r="J160" i="1"/>
  <c r="J159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</calcChain>
</file>

<file path=xl/sharedStrings.xml><?xml version="1.0" encoding="utf-8"?>
<sst xmlns="http://schemas.openxmlformats.org/spreadsheetml/2006/main" count="338" uniqueCount="110">
  <si>
    <t>PROYECTO:</t>
  </si>
  <si>
    <t>EMPRESA 1</t>
  </si>
  <si>
    <t>CIUDAD:</t>
  </si>
  <si>
    <t>TEMPERATURA MEDIA MÁXIMA AMBIENTE [C]</t>
  </si>
  <si>
    <t>REFRIGERANTE:</t>
  </si>
  <si>
    <t>TEMPERATURA MEDIA AMBIENTE [C]</t>
  </si>
  <si>
    <t>TEMPERATURA MEDIA MÍNIMA AMBIENTE [C]</t>
  </si>
  <si>
    <t>DATOS RACK'S</t>
  </si>
  <si>
    <t>COMPRESORES</t>
  </si>
  <si>
    <t>TIPO DE RACK/S</t>
  </si>
  <si>
    <t>SENCILLO</t>
  </si>
  <si>
    <t># COMPRESORES MT</t>
  </si>
  <si>
    <t># COMPRESORES BT</t>
  </si>
  <si>
    <t>BT</t>
  </si>
  <si>
    <t>MT</t>
  </si>
  <si>
    <t>PRESIÓN [psig]</t>
  </si>
  <si>
    <t>TEMPERATURA [C]</t>
  </si>
  <si>
    <t>SET POINT</t>
  </si>
  <si>
    <t>–16</t>
  </si>
  <si>
    <t>–14</t>
  </si>
  <si>
    <t>SUCCIÓN PROMEDIO</t>
  </si>
  <si>
    <t>–6</t>
  </si>
  <si>
    <t>COMPRESORES BT</t>
  </si>
  <si>
    <t>COMPRESORES MT</t>
  </si>
  <si>
    <t>#</t>
  </si>
  <si>
    <t>REFERENCIA</t>
  </si>
  <si>
    <t>POTENCIA PROM. [kWe]</t>
  </si>
  <si>
    <t>COP</t>
  </si>
  <si>
    <t>% USO</t>
  </si>
  <si>
    <t>xxxx xxxx</t>
  </si>
  <si>
    <t>uuuu uuuu</t>
  </si>
  <si>
    <t>yyyy yyyy</t>
  </si>
  <si>
    <t>vvvv vvvv</t>
  </si>
  <si>
    <t>wwww wwww</t>
  </si>
  <si>
    <t>CONDENSADOR</t>
  </si>
  <si>
    <t>CONDENSACIÓN PROMEDIO</t>
  </si>
  <si>
    <t>MARCA</t>
  </si>
  <si>
    <t>%USO</t>
  </si>
  <si>
    <t>POTENCIA MÁXIMA [kWe]</t>
  </si>
  <si>
    <t>Luve</t>
  </si>
  <si>
    <t>NEVERAS A RACK</t>
  </si>
  <si>
    <t># EQUIPOS BAJA TEMPERATURA</t>
  </si>
  <si>
    <t>HORA RETIRO CORTINAS</t>
  </si>
  <si>
    <t># EQUIPOS MEDIA TEMPERATURA</t>
  </si>
  <si>
    <t>HORA PUESTA CORTINAS</t>
  </si>
  <si>
    <t>POTENCIA PROMEDIO VENTILADOR (W)</t>
  </si>
  <si>
    <t>Incluir potencia promedio por Rail Heat - Ventiladores - Resistencia en Marco e Ilum</t>
  </si>
  <si>
    <t>BAJA TEMPERATURA</t>
  </si>
  <si>
    <t>TIPO EQUIPO</t>
  </si>
  <si>
    <t>USO</t>
  </si>
  <si>
    <t>LONG. (m/m3)</t>
  </si>
  <si>
    <t>¿TIENE PUERTAS?</t>
  </si>
  <si>
    <t>¿PUERTAS INSTALABLES?</t>
  </si>
  <si>
    <t>¿USA CORTINAS?</t>
  </si>
  <si>
    <t>¿SE REUTILIZA?</t>
  </si>
  <si>
    <t>DEFROST</t>
  </si>
  <si>
    <t>¿EQUIPO CON RESISTENCIAS?</t>
  </si>
  <si>
    <t>Potencia Frigorífica [kW]</t>
  </si>
  <si>
    <t>Consumo Eléctrico [kWh]</t>
  </si>
  <si>
    <t>Vertical BT</t>
  </si>
  <si>
    <t>SI</t>
  </si>
  <si>
    <t>HOT GAS</t>
  </si>
  <si>
    <t>NO</t>
  </si>
  <si>
    <t>-</t>
  </si>
  <si>
    <t>MEDIA TEMPERATURA</t>
  </si>
  <si>
    <t>Consumo Eléctrico (kWh)</t>
  </si>
  <si>
    <t>Vertical MT tipo Fruver con carritos (8°C)</t>
  </si>
  <si>
    <t>DATOS AUTOCONTENIDAS</t>
  </si>
  <si>
    <t>Ingresar temperatura del medio</t>
  </si>
  <si>
    <t>REFRIGERANTE</t>
  </si>
  <si>
    <t>ESTRATEGIAS DE AHORRO EN EQUIPOS CONECTADOS A RACK</t>
  </si>
  <si>
    <t>NUEVA PRESIÓN CONDENSACIÓN</t>
  </si>
  <si>
    <t>psig</t>
  </si>
  <si>
    <t>NUEVA PRESIÓN EVAPORACIÓN</t>
  </si>
  <si>
    <t>NUEVO REFRIGERANTE</t>
  </si>
  <si>
    <t>TIPO DEL NUEVO SISTEMA DE REFRIGERACIÓN</t>
  </si>
  <si>
    <t>EYECTORES?</t>
  </si>
  <si>
    <t>Tamb</t>
  </si>
  <si>
    <t>COMPRESOR PARALELO?</t>
  </si>
  <si>
    <t>Ts1</t>
  </si>
  <si>
    <t>VARIADOR DE VELOCIDAD?</t>
  </si>
  <si>
    <t>Ts2</t>
  </si>
  <si>
    <t>Set point nocturno</t>
  </si>
  <si>
    <t>Evaporación flotante</t>
  </si>
  <si>
    <t>Incluir capacidad en punto operación compresores</t>
  </si>
  <si>
    <t>Incluir cambio rutina defrost</t>
  </si>
  <si>
    <t>Incluir aumento consumo ventiladores</t>
  </si>
  <si>
    <t>RESULTADO RACK</t>
  </si>
  <si>
    <t>ENERGÍA TÉRMICA</t>
  </si>
  <si>
    <t>ENERGÍA ELÉCTRICA</t>
  </si>
  <si>
    <t>BAJA TEMP.</t>
  </si>
  <si>
    <t>MEDIA TEMP.</t>
  </si>
  <si>
    <t>TOTAL</t>
  </si>
  <si>
    <t>NEVERAS</t>
  </si>
  <si>
    <t>RACK</t>
  </si>
  <si>
    <t>CARGA TÉRMICA DE DISEÑO [kW]</t>
  </si>
  <si>
    <t>CARGA ELÉCTRICA INICIAL [kW]</t>
  </si>
  <si>
    <t>CARGA TÉRMICA EN OPERACIÓN [kW]</t>
  </si>
  <si>
    <t>AHORRO POR PUERTAS [kW]</t>
  </si>
  <si>
    <t>AHORRO POR AJUSTE PRESIONES [kW]</t>
  </si>
  <si>
    <t>AHORRO POR CAMBIO TECNOLOGÍA [kW]</t>
  </si>
  <si>
    <t>AHORRO TOTAL [kW]</t>
  </si>
  <si>
    <t>AHORRO TOTAL [%]</t>
  </si>
  <si>
    <t>CARGA ELÉCTRICA DESPUÉS DE AHORROS [kW]</t>
  </si>
  <si>
    <t>CARGA TÉRMICA DESPUÉS DE AHOROS [kW]</t>
  </si>
  <si>
    <t>ESTRATEGÍAS DE AHORRO EN AUTOCONTENIDAS</t>
  </si>
  <si>
    <t>RESULTADO AUTOCONTENIDAS</t>
  </si>
  <si>
    <t>CALOR DE RECHAZO DE DISEÑO [kW]</t>
  </si>
  <si>
    <t>CALOR DE RECHAZO DESPUÉS DE AHORROS [kW]</t>
  </si>
  <si>
    <t>AHORRO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</si>
</sst>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0" xfId="0" applyFont="1"/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9" xfId="0" quotePrefix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2" fillId="0" borderId="24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4" borderId="24" xfId="0" applyFont="1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" fillId="2" borderId="40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 wrapText="1"/>
    </xf>
    <xf numFmtId="0" fontId="2" fillId="2" borderId="42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43" xfId="0" applyFont="1" applyFill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2" borderId="45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2" borderId="5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35" xfId="0" applyFont="1" applyFill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8" xfId="0" applyFont="1" applyBorder="1" applyAlignment="1">
      <alignment horizont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1" fontId="1" fillId="0" borderId="37" xfId="0" applyNumberFormat="1" applyFont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164" fontId="1" fillId="0" borderId="37" xfId="0" applyNumberFormat="1" applyFont="1" applyBorder="1" applyAlignment="1">
      <alignment horizontal="center" vertical="center"/>
    </xf>
    <xf numFmtId="164" fontId="1" fillId="0" borderId="38" xfId="0" applyNumberFormat="1" applyFont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1" fontId="1" fillId="0" borderId="42" xfId="0" applyNumberFormat="1" applyFont="1" applyBorder="1" applyAlignment="1">
      <alignment horizontal="center" vertical="center"/>
    </xf>
    <xf numFmtId="1" fontId="1" fillId="0" borderId="54" xfId="0" applyNumberFormat="1" applyFont="1" applyBorder="1" applyAlignment="1">
      <alignment horizontal="center" vertical="center"/>
    </xf>
    <xf numFmtId="0" fontId="1" fillId="2" borderId="4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5" xfId="0" applyFont="1" applyFill="1" applyBorder="1" applyAlignment="1">
      <alignment horizontal="center" vertical="center"/>
    </xf>
    <xf numFmtId="164" fontId="1" fillId="0" borderId="45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/>
    </xf>
    <xf numFmtId="2" fontId="2" fillId="0" borderId="25" xfId="0" applyNumberFormat="1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0" borderId="5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60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61" xfId="0" applyFont="1" applyBorder="1"/>
    <xf numFmtId="0" fontId="2" fillId="0" borderId="62" xfId="0" applyFont="1" applyBorder="1"/>
    <xf numFmtId="0" fontId="2" fillId="0" borderId="63" xfId="0" applyFont="1" applyBorder="1" applyAlignment="1">
      <alignment horizontal="center"/>
    </xf>
    <xf numFmtId="0" fontId="2" fillId="0" borderId="64" xfId="0" applyFont="1" applyBorder="1" applyAlignment="1">
      <alignment horizontal="center"/>
    </xf>
    <xf numFmtId="0" fontId="2" fillId="0" borderId="64" xfId="0" applyFont="1" applyBorder="1"/>
    <xf numFmtId="0" fontId="2" fillId="0" borderId="65" xfId="0" applyFont="1" applyBorder="1"/>
    <xf numFmtId="0" fontId="2" fillId="0" borderId="29" xfId="0" applyFont="1" applyBorder="1"/>
    <xf numFmtId="0" fontId="2" fillId="0" borderId="30" xfId="0" applyFont="1" applyBorder="1"/>
    <xf numFmtId="0" fontId="1" fillId="2" borderId="7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10" xfId="0" applyFont="1" applyBorder="1"/>
    <xf numFmtId="0" fontId="3" fillId="3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9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1" fillId="5" borderId="24" xfId="0" applyFont="1" applyFill="1" applyBorder="1" applyAlignment="1">
      <alignment horizontal="center"/>
    </xf>
    <xf numFmtId="0" fontId="1" fillId="6" borderId="0" xfId="0" applyFont="1" applyFill="1"/>
    <xf numFmtId="0" fontId="1" fillId="0" borderId="24" xfId="0" applyFont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left"/>
    </xf>
    <xf numFmtId="0" fontId="1" fillId="6" borderId="24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left"/>
    </xf>
    <xf numFmtId="0" fontId="2" fillId="6" borderId="24" xfId="0" applyFont="1" applyFill="1" applyBorder="1"/>
    <xf numFmtId="2" fontId="2" fillId="6" borderId="24" xfId="0" applyNumberFormat="1" applyFont="1" applyFill="1" applyBorder="1" applyAlignment="1">
      <alignment horizontal="center"/>
    </xf>
    <xf numFmtId="0" fontId="2" fillId="0" borderId="18" xfId="0" applyFont="1" applyBorder="1"/>
    <xf numFmtId="0" fontId="3" fillId="3" borderId="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5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2" fillId="0" borderId="5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" fillId="5" borderId="58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2" borderId="24" xfId="0" applyFont="1" applyFill="1" applyBorder="1" applyAlignment="1">
      <alignment horizontal="left"/>
    </xf>
    <xf numFmtId="0" fontId="2" fillId="2" borderId="24" xfId="0" applyFont="1" applyFill="1" applyBorder="1" applyAlignment="1">
      <alignment horizontal="left" vertical="center"/>
    </xf>
    <xf numFmtId="0" fontId="2" fillId="6" borderId="24" xfId="0" applyFont="1" applyFill="1" applyBorder="1" applyAlignment="1">
      <alignment horizontal="left"/>
    </xf>
  </cellXfs>
  <cellStyles count="1">
    <cellStyle name="Normal" xfId="0" builtinId="0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33"/>
  <sheetViews>
    <sheetView tabSelected="1" zoomScale="40" zoomScaleNormal="40" workbookViewId="0">
      <selection activeCell="C2" sqref="C2:D2"/>
    </sheetView>
  </sheetViews>
  <sheetFormatPr baseColWidth="10" defaultColWidth="11.54296875" defaultRowHeight="15.5" x14ac:dyDescent="0.35"/>
  <cols>
    <col min="1" max="1" width="6.7265625" style="181" customWidth="1"/>
    <col min="2" max="2" width="33.81640625" style="181" customWidth="1"/>
    <col min="3" max="3" width="21.54296875" style="181" customWidth="1"/>
    <col min="4" max="4" width="18.1796875" style="181" customWidth="1"/>
    <col min="5" max="5" width="19" style="181" customWidth="1"/>
    <col min="6" max="6" width="16.453125" style="181" customWidth="1"/>
    <col min="7" max="7" width="36.81640625" style="181" customWidth="1"/>
    <col min="8" max="8" width="15.26953125" style="181" customWidth="1"/>
    <col min="9" max="9" width="18.26953125" style="181" customWidth="1"/>
    <col min="10" max="10" width="16.1796875" style="181" customWidth="1"/>
    <col min="11" max="11" width="15.7265625" style="11" customWidth="1"/>
    <col min="12" max="12" width="16.26953125" style="11" customWidth="1"/>
    <col min="13" max="16384" width="11.54296875" style="11"/>
  </cols>
  <sheetData>
    <row r="1" spans="1:11" ht="60" customHeight="1" thickBot="1" x14ac:dyDescent="0.4">
      <c r="A1" s="1" t="s">
        <v>0</v>
      </c>
      <c r="B1" s="2"/>
      <c r="C1" s="3" t="s">
        <v>1</v>
      </c>
      <c r="D1" s="4"/>
      <c r="E1" s="1" t="s">
        <v>2</v>
      </c>
      <c r="F1" s="5"/>
      <c r="G1" s="6"/>
      <c r="H1" s="7" t="s">
        <v>3</v>
      </c>
      <c r="I1" s="8"/>
      <c r="J1" s="9">
        <v>32.6</v>
      </c>
      <c r="K1" s="10"/>
    </row>
    <row r="2" spans="1:11" ht="57" customHeight="1" thickBot="1" x14ac:dyDescent="0.4">
      <c r="A2" s="1" t="s">
        <v>4</v>
      </c>
      <c r="B2" s="2"/>
      <c r="C2" s="12"/>
      <c r="D2" s="13"/>
      <c r="E2" s="7" t="s">
        <v>5</v>
      </c>
      <c r="F2" s="14"/>
      <c r="G2" s="15">
        <v>27.6</v>
      </c>
      <c r="H2" s="7" t="s">
        <v>6</v>
      </c>
      <c r="I2" s="8"/>
      <c r="J2" s="16">
        <v>24.3</v>
      </c>
      <c r="K2" s="17"/>
    </row>
    <row r="3" spans="1:11" x14ac:dyDescent="0.35">
      <c r="A3" s="18"/>
      <c r="B3" s="18"/>
      <c r="C3" s="18"/>
      <c r="D3" s="18"/>
      <c r="E3" s="18"/>
      <c r="F3" s="18"/>
      <c r="G3" s="18"/>
      <c r="H3" s="18"/>
      <c r="I3" s="18"/>
      <c r="J3" s="19"/>
      <c r="K3" s="19"/>
    </row>
    <row r="4" spans="1:11" ht="16" thickBot="1" x14ac:dyDescent="0.4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</row>
    <row r="5" spans="1:11" ht="43.5" customHeight="1" thickBot="1" x14ac:dyDescent="0.4">
      <c r="A5" s="21" t="s">
        <v>7</v>
      </c>
      <c r="B5" s="22"/>
      <c r="C5" s="22"/>
      <c r="D5" s="22"/>
      <c r="E5" s="22"/>
      <c r="F5" s="22"/>
      <c r="G5" s="22"/>
      <c r="H5" s="22"/>
      <c r="I5" s="22"/>
      <c r="J5" s="22"/>
      <c r="K5" s="23"/>
    </row>
    <row r="6" spans="1:11" ht="27.75" customHeight="1" thickBot="1" x14ac:dyDescent="0.4">
      <c r="A6" s="24" t="s">
        <v>8</v>
      </c>
      <c r="B6" s="25"/>
      <c r="C6" s="25"/>
      <c r="D6" s="25"/>
      <c r="E6" s="25"/>
      <c r="F6" s="25"/>
      <c r="G6" s="25"/>
      <c r="H6" s="25"/>
      <c r="I6" s="25"/>
      <c r="J6" s="25"/>
      <c r="K6" s="26"/>
    </row>
    <row r="7" spans="1:11" ht="16" thickBot="1" x14ac:dyDescent="0.4">
      <c r="A7" s="27" t="s">
        <v>9</v>
      </c>
      <c r="B7" s="28"/>
      <c r="C7" s="29" t="s">
        <v>10</v>
      </c>
      <c r="D7" s="27" t="s">
        <v>11</v>
      </c>
      <c r="E7" s="30"/>
      <c r="F7" s="31">
        <v>3</v>
      </c>
      <c r="G7" s="32"/>
      <c r="H7" s="27" t="s">
        <v>12</v>
      </c>
      <c r="I7" s="33"/>
      <c r="J7" s="34">
        <v>2</v>
      </c>
      <c r="K7" s="32"/>
    </row>
    <row r="8" spans="1:11" ht="18.75" customHeight="1" thickBot="1" x14ac:dyDescent="0.4">
      <c r="A8" s="35"/>
      <c r="B8" s="19"/>
      <c r="C8" s="19"/>
      <c r="D8" s="19"/>
      <c r="E8" s="19"/>
      <c r="F8" s="19"/>
      <c r="G8" s="19"/>
      <c r="H8" s="19"/>
      <c r="I8" s="19"/>
      <c r="J8" s="19"/>
      <c r="K8" s="36"/>
    </row>
    <row r="9" spans="1:11" x14ac:dyDescent="0.35">
      <c r="A9" s="37" t="s">
        <v>13</v>
      </c>
      <c r="B9" s="38"/>
      <c r="C9" s="38"/>
      <c r="D9" s="38"/>
      <c r="E9" s="39"/>
      <c r="F9" s="40"/>
      <c r="G9" s="37" t="s">
        <v>14</v>
      </c>
      <c r="H9" s="38"/>
      <c r="I9" s="38"/>
      <c r="J9" s="38"/>
      <c r="K9" s="39"/>
    </row>
    <row r="10" spans="1:11" x14ac:dyDescent="0.35">
      <c r="A10" s="41"/>
      <c r="B10" s="42"/>
      <c r="C10" s="43" t="s">
        <v>15</v>
      </c>
      <c r="D10" s="44" t="s">
        <v>16</v>
      </c>
      <c r="E10" s="45"/>
      <c r="F10" s="40"/>
      <c r="G10" s="46"/>
      <c r="H10" s="47"/>
      <c r="I10" s="43" t="s">
        <v>15</v>
      </c>
      <c r="J10" s="44" t="s">
        <v>16</v>
      </c>
      <c r="K10" s="45"/>
    </row>
    <row r="11" spans="1:11" ht="21.65" customHeight="1" x14ac:dyDescent="0.35">
      <c r="A11" s="48" t="s">
        <v>17</v>
      </c>
      <c r="B11" s="44"/>
      <c r="C11" s="49">
        <v>38</v>
      </c>
      <c r="D11" s="50" t="s">
        <v>18</v>
      </c>
      <c r="E11" s="51"/>
      <c r="F11" s="40"/>
      <c r="G11" s="52" t="s">
        <v>17</v>
      </c>
      <c r="H11" s="53"/>
      <c r="I11" s="49">
        <v>40</v>
      </c>
      <c r="J11" s="50" t="s">
        <v>19</v>
      </c>
      <c r="K11" s="51"/>
    </row>
    <row r="12" spans="1:11" ht="30" customHeight="1" thickBot="1" x14ac:dyDescent="0.4">
      <c r="A12" s="54" t="s">
        <v>20</v>
      </c>
      <c r="B12" s="55"/>
      <c r="C12" s="56">
        <v>40</v>
      </c>
      <c r="D12" s="57" t="s">
        <v>19</v>
      </c>
      <c r="E12" s="58"/>
      <c r="F12" s="40"/>
      <c r="G12" s="59" t="s">
        <v>20</v>
      </c>
      <c r="H12" s="60"/>
      <c r="I12" s="56">
        <v>23</v>
      </c>
      <c r="J12" s="57" t="s">
        <v>21</v>
      </c>
      <c r="K12" s="58"/>
    </row>
    <row r="13" spans="1:11" ht="22.5" customHeight="1" thickBot="1" x14ac:dyDescent="0.4">
      <c r="A13" s="61"/>
      <c r="B13" s="62"/>
      <c r="C13" s="62"/>
      <c r="D13" s="62"/>
      <c r="E13" s="62"/>
      <c r="F13" s="62"/>
      <c r="G13" s="62"/>
      <c r="H13" s="62"/>
      <c r="I13" s="62"/>
      <c r="J13" s="62"/>
      <c r="K13" s="63"/>
    </row>
    <row r="14" spans="1:11" x14ac:dyDescent="0.35">
      <c r="A14" s="37" t="s">
        <v>22</v>
      </c>
      <c r="B14" s="38"/>
      <c r="C14" s="38"/>
      <c r="D14" s="38"/>
      <c r="E14" s="39"/>
      <c r="F14" s="19"/>
      <c r="G14" s="37" t="s">
        <v>23</v>
      </c>
      <c r="H14" s="38"/>
      <c r="I14" s="38"/>
      <c r="J14" s="38"/>
      <c r="K14" s="39"/>
    </row>
    <row r="15" spans="1:11" ht="31" x14ac:dyDescent="0.35">
      <c r="A15" s="64" t="s">
        <v>24</v>
      </c>
      <c r="B15" s="65" t="s">
        <v>25</v>
      </c>
      <c r="C15" s="66" t="s">
        <v>26</v>
      </c>
      <c r="D15" s="65" t="s">
        <v>27</v>
      </c>
      <c r="E15" s="67" t="s">
        <v>28</v>
      </c>
      <c r="F15" s="19"/>
      <c r="G15" s="64" t="s">
        <v>24</v>
      </c>
      <c r="H15" s="65" t="s">
        <v>25</v>
      </c>
      <c r="I15" s="66" t="s">
        <v>26</v>
      </c>
      <c r="J15" s="65" t="s">
        <v>27</v>
      </c>
      <c r="K15" s="67" t="s">
        <v>28</v>
      </c>
    </row>
    <row r="16" spans="1:11" x14ac:dyDescent="0.35">
      <c r="A16" s="68">
        <v>1</v>
      </c>
      <c r="B16" s="68" t="s">
        <v>29</v>
      </c>
      <c r="C16" s="69">
        <v>10</v>
      </c>
      <c r="D16" s="70">
        <v>2</v>
      </c>
      <c r="E16" s="68">
        <v>90</v>
      </c>
      <c r="F16" s="19"/>
      <c r="G16" s="68">
        <v>1</v>
      </c>
      <c r="H16" s="68" t="s">
        <v>30</v>
      </c>
      <c r="I16" s="69">
        <v>12</v>
      </c>
      <c r="J16" s="70">
        <v>1.8</v>
      </c>
      <c r="K16" s="68">
        <v>95</v>
      </c>
    </row>
    <row r="17" spans="1:11" x14ac:dyDescent="0.35">
      <c r="A17" s="68">
        <v>2</v>
      </c>
      <c r="B17" s="68" t="s">
        <v>31</v>
      </c>
      <c r="C17" s="69">
        <v>10</v>
      </c>
      <c r="D17" s="70">
        <v>1.8</v>
      </c>
      <c r="E17" s="68">
        <v>40</v>
      </c>
      <c r="F17" s="19"/>
      <c r="G17" s="68">
        <v>2</v>
      </c>
      <c r="H17" s="68" t="s">
        <v>32</v>
      </c>
      <c r="I17" s="69">
        <v>12</v>
      </c>
      <c r="J17" s="70">
        <v>1.8</v>
      </c>
      <c r="K17" s="68">
        <v>35</v>
      </c>
    </row>
    <row r="18" spans="1:11" x14ac:dyDescent="0.35">
      <c r="A18" s="68"/>
      <c r="B18" s="68"/>
      <c r="C18" s="69"/>
      <c r="D18" s="70"/>
      <c r="E18" s="68"/>
      <c r="F18" s="19"/>
      <c r="G18" s="68">
        <v>3</v>
      </c>
      <c r="H18" s="68" t="s">
        <v>33</v>
      </c>
      <c r="I18" s="69">
        <v>12</v>
      </c>
      <c r="J18" s="70">
        <v>1.8</v>
      </c>
      <c r="K18" s="68">
        <v>10</v>
      </c>
    </row>
    <row r="19" spans="1:11" x14ac:dyDescent="0.35">
      <c r="A19" s="68"/>
      <c r="B19" s="68"/>
      <c r="C19" s="69"/>
      <c r="D19" s="70"/>
      <c r="E19" s="68"/>
      <c r="F19" s="19"/>
      <c r="G19" s="68"/>
      <c r="H19" s="68"/>
      <c r="I19" s="69"/>
      <c r="J19" s="70"/>
      <c r="K19" s="68"/>
    </row>
    <row r="20" spans="1:11" x14ac:dyDescent="0.35">
      <c r="A20" s="68"/>
      <c r="B20" s="68"/>
      <c r="C20" s="69"/>
      <c r="D20" s="70"/>
      <c r="E20" s="68"/>
      <c r="F20" s="19"/>
      <c r="G20" s="68"/>
      <c r="H20" s="68"/>
      <c r="I20" s="69"/>
      <c r="J20" s="70"/>
      <c r="K20" s="68"/>
    </row>
    <row r="21" spans="1:11" x14ac:dyDescent="0.35">
      <c r="A21" s="68"/>
      <c r="B21" s="68"/>
      <c r="C21" s="69"/>
      <c r="D21" s="70"/>
      <c r="E21" s="68"/>
      <c r="F21" s="19"/>
      <c r="G21" s="68"/>
      <c r="H21" s="68"/>
      <c r="I21" s="69"/>
      <c r="J21" s="70"/>
      <c r="K21" s="68"/>
    </row>
    <row r="22" spans="1:11" x14ac:dyDescent="0.35">
      <c r="A22" s="68"/>
      <c r="B22" s="68"/>
      <c r="C22" s="69"/>
      <c r="D22" s="70"/>
      <c r="E22" s="68"/>
      <c r="F22" s="19"/>
      <c r="G22" s="68"/>
      <c r="H22" s="68"/>
      <c r="I22" s="69"/>
      <c r="J22" s="70"/>
      <c r="K22" s="68"/>
    </row>
    <row r="23" spans="1:11" x14ac:dyDescent="0.35">
      <c r="A23" s="68"/>
      <c r="B23" s="68"/>
      <c r="C23" s="69"/>
      <c r="D23" s="70"/>
      <c r="E23" s="68"/>
      <c r="F23" s="19"/>
      <c r="G23" s="68"/>
      <c r="H23" s="68"/>
      <c r="I23" s="69"/>
      <c r="J23" s="70"/>
      <c r="K23" s="68"/>
    </row>
    <row r="24" spans="1:11" ht="16" thickBot="1" x14ac:dyDescent="0.4">
      <c r="A24" s="68"/>
      <c r="B24" s="68"/>
      <c r="C24" s="69"/>
      <c r="D24" s="70"/>
      <c r="E24" s="68"/>
      <c r="F24" s="20"/>
      <c r="G24" s="68"/>
      <c r="H24" s="68"/>
      <c r="I24" s="69"/>
      <c r="J24" s="70"/>
      <c r="K24" s="68"/>
    </row>
    <row r="25" spans="1:11" ht="28.5" customHeight="1" thickBot="1" x14ac:dyDescent="0.4">
      <c r="A25" s="71"/>
      <c r="B25" s="72"/>
      <c r="C25" s="72"/>
      <c r="D25" s="72"/>
      <c r="E25" s="72"/>
      <c r="F25" s="13"/>
      <c r="G25" s="72"/>
      <c r="H25" s="72"/>
      <c r="I25" s="72"/>
      <c r="J25" s="72"/>
      <c r="K25" s="73"/>
    </row>
    <row r="26" spans="1:11" ht="26.25" customHeight="1" thickBot="1" x14ac:dyDescent="0.4">
      <c r="A26" s="24" t="s">
        <v>34</v>
      </c>
      <c r="B26" s="25"/>
      <c r="C26" s="25"/>
      <c r="D26" s="25"/>
      <c r="E26" s="25"/>
      <c r="F26" s="25"/>
      <c r="G26" s="25"/>
      <c r="H26" s="25"/>
      <c r="I26" s="25"/>
      <c r="J26" s="25"/>
      <c r="K26" s="26"/>
    </row>
    <row r="27" spans="1:11" s="80" customFormat="1" ht="20.25" customHeight="1" x14ac:dyDescent="0.35">
      <c r="A27" s="74"/>
      <c r="B27" s="75"/>
      <c r="C27" s="76" t="s">
        <v>15</v>
      </c>
      <c r="D27" s="77" t="s">
        <v>16</v>
      </c>
      <c r="E27" s="78"/>
      <c r="F27" s="79"/>
      <c r="G27" s="74"/>
      <c r="H27" s="75"/>
      <c r="I27" s="76" t="s">
        <v>15</v>
      </c>
      <c r="J27" s="77" t="s">
        <v>16</v>
      </c>
      <c r="K27" s="78"/>
    </row>
    <row r="28" spans="1:11" ht="34.5" customHeight="1" thickBot="1" x14ac:dyDescent="0.4">
      <c r="A28" s="54" t="s">
        <v>17</v>
      </c>
      <c r="B28" s="55"/>
      <c r="C28" s="56">
        <v>250</v>
      </c>
      <c r="D28" s="57">
        <v>40</v>
      </c>
      <c r="E28" s="58"/>
      <c r="F28" s="40"/>
      <c r="G28" s="59" t="s">
        <v>35</v>
      </c>
      <c r="H28" s="60"/>
      <c r="I28" s="56">
        <v>230</v>
      </c>
      <c r="J28" s="81">
        <v>36</v>
      </c>
      <c r="K28" s="82"/>
    </row>
    <row r="29" spans="1:11" ht="16" thickBot="1" x14ac:dyDescent="0.4">
      <c r="A29" s="83"/>
      <c r="B29" s="84"/>
      <c r="C29" s="84"/>
      <c r="D29" s="84"/>
      <c r="E29" s="84"/>
      <c r="F29" s="84"/>
      <c r="G29" s="84"/>
      <c r="H29" s="84"/>
      <c r="I29" s="84"/>
      <c r="J29" s="84"/>
      <c r="K29" s="85"/>
    </row>
    <row r="30" spans="1:11" ht="27" customHeight="1" x14ac:dyDescent="0.35">
      <c r="A30" s="86" t="s">
        <v>24</v>
      </c>
      <c r="B30" s="87"/>
      <c r="C30" s="77" t="s">
        <v>36</v>
      </c>
      <c r="D30" s="77"/>
      <c r="E30" s="77" t="s">
        <v>37</v>
      </c>
      <c r="F30" s="77"/>
      <c r="G30" s="88" t="s">
        <v>38</v>
      </c>
      <c r="H30" s="88"/>
      <c r="I30" s="89"/>
      <c r="J30" s="90"/>
      <c r="K30" s="91"/>
    </row>
    <row r="31" spans="1:11" x14ac:dyDescent="0.35">
      <c r="A31" s="92">
        <v>1</v>
      </c>
      <c r="B31" s="93"/>
      <c r="C31" s="94" t="s">
        <v>39</v>
      </c>
      <c r="D31" s="93"/>
      <c r="E31" s="94">
        <v>75</v>
      </c>
      <c r="F31" s="93"/>
      <c r="G31" s="94">
        <v>5</v>
      </c>
      <c r="H31" s="93"/>
      <c r="I31" s="95"/>
      <c r="J31" s="96"/>
      <c r="K31" s="97"/>
    </row>
    <row r="32" spans="1:11" x14ac:dyDescent="0.35">
      <c r="A32" s="92"/>
      <c r="B32" s="93"/>
      <c r="C32" s="94"/>
      <c r="D32" s="93"/>
      <c r="E32" s="94"/>
      <c r="F32" s="93"/>
      <c r="G32" s="94"/>
      <c r="H32" s="93"/>
      <c r="I32" s="95"/>
      <c r="J32" s="96"/>
      <c r="K32" s="97"/>
    </row>
    <row r="33" spans="1:12" x14ac:dyDescent="0.35">
      <c r="A33" s="98"/>
      <c r="B33" s="99"/>
      <c r="C33" s="100"/>
      <c r="D33" s="99"/>
      <c r="E33" s="100"/>
      <c r="F33" s="99"/>
      <c r="G33" s="100"/>
      <c r="H33" s="99"/>
      <c r="I33" s="95"/>
      <c r="J33" s="96"/>
      <c r="K33" s="97"/>
    </row>
    <row r="34" spans="1:12" ht="16" thickBot="1" x14ac:dyDescent="0.4">
      <c r="A34" s="101"/>
      <c r="B34" s="102"/>
      <c r="C34" s="103"/>
      <c r="D34" s="102"/>
      <c r="E34" s="103"/>
      <c r="F34" s="102"/>
      <c r="G34" s="103"/>
      <c r="H34" s="102"/>
      <c r="I34" s="104"/>
      <c r="J34" s="105"/>
      <c r="K34" s="106"/>
    </row>
    <row r="35" spans="1:12" x14ac:dyDescent="0.35">
      <c r="A35" s="107"/>
      <c r="B35" s="108"/>
      <c r="C35" s="108"/>
      <c r="D35" s="108"/>
      <c r="E35" s="108"/>
      <c r="F35" s="108"/>
      <c r="G35" s="108"/>
      <c r="H35" s="108"/>
      <c r="I35" s="108"/>
      <c r="J35" s="108"/>
      <c r="K35" s="109"/>
    </row>
    <row r="36" spans="1:12" ht="30" customHeight="1" thickBot="1" x14ac:dyDescent="0.4">
      <c r="A36" s="110"/>
      <c r="B36" s="111"/>
      <c r="C36" s="111"/>
      <c r="D36" s="111"/>
      <c r="E36" s="111"/>
      <c r="F36" s="111"/>
      <c r="G36" s="111"/>
      <c r="H36" s="111"/>
      <c r="I36" s="111"/>
      <c r="J36" s="111"/>
      <c r="K36" s="112"/>
    </row>
    <row r="37" spans="1:12" ht="30.75" customHeight="1" x14ac:dyDescent="0.35">
      <c r="A37" s="113" t="s">
        <v>40</v>
      </c>
      <c r="B37" s="114"/>
      <c r="C37" s="114"/>
      <c r="D37" s="114"/>
      <c r="E37" s="114"/>
      <c r="F37" s="114"/>
      <c r="G37" s="114"/>
      <c r="H37" s="114"/>
      <c r="I37" s="114"/>
      <c r="J37" s="114"/>
      <c r="K37" s="115"/>
    </row>
    <row r="38" spans="1:12" ht="15" customHeight="1" x14ac:dyDescent="0.35">
      <c r="A38" s="48" t="s">
        <v>41</v>
      </c>
      <c r="B38" s="44"/>
      <c r="C38" s="44"/>
      <c r="D38" s="94">
        <v>5</v>
      </c>
      <c r="E38" s="93"/>
      <c r="F38" s="53" t="s">
        <v>42</v>
      </c>
      <c r="G38" s="53"/>
      <c r="H38" s="53"/>
      <c r="I38" s="53"/>
      <c r="J38" s="116">
        <v>0.25</v>
      </c>
      <c r="K38" s="117"/>
    </row>
    <row r="39" spans="1:12" ht="15" customHeight="1" thickBot="1" x14ac:dyDescent="0.4">
      <c r="A39" s="118" t="s">
        <v>43</v>
      </c>
      <c r="B39" s="119"/>
      <c r="C39" s="120"/>
      <c r="D39" s="121">
        <v>15</v>
      </c>
      <c r="E39" s="122"/>
      <c r="F39" s="123" t="s">
        <v>44</v>
      </c>
      <c r="G39" s="119"/>
      <c r="H39" s="119"/>
      <c r="I39" s="120"/>
      <c r="J39" s="124">
        <v>0.91666666666666663</v>
      </c>
      <c r="K39" s="125"/>
    </row>
    <row r="40" spans="1:12" ht="15" customHeight="1" x14ac:dyDescent="0.35">
      <c r="A40" s="126" t="s">
        <v>45</v>
      </c>
      <c r="B40" s="127"/>
      <c r="C40" s="128"/>
      <c r="D40" s="129">
        <v>65</v>
      </c>
      <c r="E40" s="130"/>
      <c r="F40" s="131"/>
      <c r="G40" s="132"/>
      <c r="H40" s="132"/>
      <c r="I40" s="133"/>
      <c r="J40" s="134"/>
      <c r="K40" s="135"/>
    </row>
    <row r="41" spans="1:12" ht="27.75" customHeight="1" thickBot="1" x14ac:dyDescent="0.4">
      <c r="A41" s="136" t="s">
        <v>46</v>
      </c>
      <c r="B41" s="137"/>
      <c r="C41" s="137"/>
      <c r="D41" s="137"/>
      <c r="E41" s="137"/>
      <c r="F41" s="137"/>
      <c r="G41" s="137"/>
      <c r="H41" s="137"/>
      <c r="I41" s="137"/>
      <c r="J41" s="137"/>
      <c r="K41" s="138"/>
    </row>
    <row r="42" spans="1:12" ht="24.75" customHeight="1" x14ac:dyDescent="0.35">
      <c r="A42" s="139" t="s">
        <v>47</v>
      </c>
      <c r="B42" s="140"/>
      <c r="C42" s="140"/>
      <c r="D42" s="140"/>
      <c r="E42" s="140"/>
      <c r="F42" s="140"/>
      <c r="G42" s="140"/>
      <c r="H42" s="140"/>
      <c r="I42" s="140"/>
      <c r="J42" s="140"/>
      <c r="K42" s="141"/>
    </row>
    <row r="43" spans="1:12" ht="35.25" customHeight="1" x14ac:dyDescent="0.35">
      <c r="A43" s="142" t="s">
        <v>24</v>
      </c>
      <c r="B43" s="66" t="s">
        <v>48</v>
      </c>
      <c r="C43" s="66" t="s">
        <v>49</v>
      </c>
      <c r="D43" s="66" t="s">
        <v>50</v>
      </c>
      <c r="E43" s="66" t="s">
        <v>51</v>
      </c>
      <c r="F43" s="66" t="s">
        <v>52</v>
      </c>
      <c r="G43" s="66" t="s">
        <v>53</v>
      </c>
      <c r="H43" s="66" t="s">
        <v>54</v>
      </c>
      <c r="I43" s="132" t="s">
        <v>55</v>
      </c>
      <c r="J43" s="66" t="s">
        <v>56</v>
      </c>
      <c r="K43" s="143" t="s">
        <v>57</v>
      </c>
      <c r="L43" s="143" t="s">
        <v>58</v>
      </c>
    </row>
    <row r="44" spans="1:12" x14ac:dyDescent="0.35">
      <c r="A44" s="144"/>
      <c r="B44" s="145" t="s">
        <v>59</v>
      </c>
      <c r="C44" s="145"/>
      <c r="D44" s="145">
        <v>6</v>
      </c>
      <c r="E44" s="145" t="s">
        <v>60</v>
      </c>
      <c r="F44" s="145" t="s">
        <v>60</v>
      </c>
      <c r="G44" s="145" t="s">
        <v>60</v>
      </c>
      <c r="H44" s="145" t="s">
        <v>60</v>
      </c>
      <c r="I44" s="145" t="s">
        <v>61</v>
      </c>
      <c r="J44" s="146">
        <f ca="1">IFERROR(PotMIM(D44,B44,E44,G44,J39,J38),0)</f>
        <v>0</v>
      </c>
      <c r="K44" s="147">
        <f ca="1">IFERROR(PotAhorroMIM(D44,B44,E44,F44,G44,J39,J38),0)</f>
        <v>0</v>
      </c>
    </row>
    <row r="45" spans="1:12" x14ac:dyDescent="0.35">
      <c r="A45" s="144"/>
      <c r="B45" s="145" t="s">
        <v>59</v>
      </c>
      <c r="C45" s="145"/>
      <c r="D45" s="145">
        <v>3</v>
      </c>
      <c r="E45" s="145" t="s">
        <v>62</v>
      </c>
      <c r="F45" s="145" t="s">
        <v>60</v>
      </c>
      <c r="G45" s="145" t="s">
        <v>62</v>
      </c>
      <c r="H45" s="145"/>
      <c r="I45" s="145"/>
      <c r="J45" s="146">
        <f ca="1">IFERROR(PotMIM(D45,B45,E45,G45,J41,J39),0)</f>
        <v>0</v>
      </c>
      <c r="K45" s="147">
        <f ca="1">IFERROR(PotAhorroMIM(D45,B45,E45,F45,G45,J41,J39),0)</f>
        <v>0</v>
      </c>
    </row>
    <row r="46" spans="1:12" x14ac:dyDescent="0.35">
      <c r="A46" s="144"/>
      <c r="B46" s="145" t="s">
        <v>59</v>
      </c>
      <c r="C46" s="145"/>
      <c r="D46" s="145">
        <v>4</v>
      </c>
      <c r="E46" s="145" t="s">
        <v>62</v>
      </c>
      <c r="F46" s="145" t="s">
        <v>60</v>
      </c>
      <c r="G46" s="145" t="s">
        <v>62</v>
      </c>
      <c r="H46" s="145"/>
      <c r="I46" s="145"/>
      <c r="J46" s="146">
        <f t="shared" ref="J46:J69" ca="1" si="0">IFERROR(PotMIM(D46,B46,E46,G46,J42,J41),0)</f>
        <v>0</v>
      </c>
      <c r="K46" s="147">
        <f t="shared" ref="K46:K70" ca="1" si="1">IFERROR(PotAhorroMIM(D46,B46,E46,F46,G46,J42,J41),0)</f>
        <v>0</v>
      </c>
    </row>
    <row r="47" spans="1:12" x14ac:dyDescent="0.35">
      <c r="A47" s="144"/>
      <c r="B47" s="145" t="s">
        <v>59</v>
      </c>
      <c r="C47" s="145"/>
      <c r="D47" s="145">
        <v>5</v>
      </c>
      <c r="E47" s="145" t="s">
        <v>60</v>
      </c>
      <c r="F47" s="145" t="s">
        <v>60</v>
      </c>
      <c r="G47" s="145" t="s">
        <v>62</v>
      </c>
      <c r="H47" s="145"/>
      <c r="I47" s="145"/>
      <c r="J47" s="146">
        <f t="shared" ca="1" si="0"/>
        <v>0</v>
      </c>
      <c r="K47" s="147">
        <f t="shared" ca="1" si="1"/>
        <v>0</v>
      </c>
    </row>
    <row r="48" spans="1:12" x14ac:dyDescent="0.35">
      <c r="A48" s="144"/>
      <c r="B48" s="145" t="s">
        <v>59</v>
      </c>
      <c r="C48" s="145"/>
      <c r="D48" s="145">
        <v>7</v>
      </c>
      <c r="E48" s="145" t="s">
        <v>60</v>
      </c>
      <c r="F48" s="145" t="s">
        <v>60</v>
      </c>
      <c r="G48" s="145" t="s">
        <v>62</v>
      </c>
      <c r="H48" s="145"/>
      <c r="I48" s="145"/>
      <c r="J48" s="146">
        <f t="shared" ca="1" si="0"/>
        <v>0</v>
      </c>
      <c r="K48" s="147">
        <f t="shared" ca="1" si="1"/>
        <v>0</v>
      </c>
    </row>
    <row r="49" spans="1:11" x14ac:dyDescent="0.35">
      <c r="A49" s="144"/>
      <c r="B49" s="145" t="s">
        <v>59</v>
      </c>
      <c r="C49" s="145"/>
      <c r="D49" s="145">
        <v>3</v>
      </c>
      <c r="E49" s="145" t="s">
        <v>63</v>
      </c>
      <c r="F49" s="145" t="s">
        <v>60</v>
      </c>
      <c r="G49" s="145" t="s">
        <v>62</v>
      </c>
      <c r="H49" s="145"/>
      <c r="I49" s="145"/>
      <c r="J49" s="146">
        <f t="shared" ca="1" si="0"/>
        <v>0</v>
      </c>
      <c r="K49" s="147">
        <f t="shared" ca="1" si="1"/>
        <v>0</v>
      </c>
    </row>
    <row r="50" spans="1:11" x14ac:dyDescent="0.35">
      <c r="A50" s="144"/>
      <c r="B50" s="145" t="s">
        <v>59</v>
      </c>
      <c r="C50" s="145"/>
      <c r="D50" s="145">
        <v>3</v>
      </c>
      <c r="E50" s="145" t="s">
        <v>60</v>
      </c>
      <c r="F50" s="145" t="s">
        <v>60</v>
      </c>
      <c r="G50" s="145" t="s">
        <v>62</v>
      </c>
      <c r="H50" s="145"/>
      <c r="I50" s="145"/>
      <c r="J50" s="146">
        <f t="shared" ca="1" si="0"/>
        <v>0</v>
      </c>
      <c r="K50" s="147">
        <f t="shared" ca="1" si="1"/>
        <v>0</v>
      </c>
    </row>
    <row r="51" spans="1:11" x14ac:dyDescent="0.35">
      <c r="A51" s="144"/>
      <c r="B51" s="145" t="s">
        <v>59</v>
      </c>
      <c r="C51" s="145"/>
      <c r="D51" s="145"/>
      <c r="E51" s="145" t="s">
        <v>60</v>
      </c>
      <c r="F51" s="145" t="s">
        <v>60</v>
      </c>
      <c r="G51" s="145" t="s">
        <v>62</v>
      </c>
      <c r="H51" s="145"/>
      <c r="I51" s="145"/>
      <c r="J51" s="146">
        <f t="shared" ca="1" si="0"/>
        <v>0</v>
      </c>
      <c r="K51" s="147">
        <f t="shared" ca="1" si="1"/>
        <v>0</v>
      </c>
    </row>
    <row r="52" spans="1:11" x14ac:dyDescent="0.35">
      <c r="A52" s="144"/>
      <c r="B52" s="145" t="s">
        <v>59</v>
      </c>
      <c r="C52" s="145"/>
      <c r="D52" s="145"/>
      <c r="E52" s="145" t="s">
        <v>60</v>
      </c>
      <c r="F52" s="145" t="s">
        <v>60</v>
      </c>
      <c r="G52" s="145" t="s">
        <v>62</v>
      </c>
      <c r="H52" s="145"/>
      <c r="I52" s="145"/>
      <c r="J52" s="146">
        <f t="shared" ca="1" si="0"/>
        <v>0</v>
      </c>
      <c r="K52" s="147">
        <f t="shared" ca="1" si="1"/>
        <v>0</v>
      </c>
    </row>
    <row r="53" spans="1:11" x14ac:dyDescent="0.35">
      <c r="A53" s="144"/>
      <c r="B53" s="145" t="s">
        <v>59</v>
      </c>
      <c r="C53" s="145"/>
      <c r="D53" s="145"/>
      <c r="E53" s="145" t="s">
        <v>60</v>
      </c>
      <c r="F53" s="145" t="s">
        <v>60</v>
      </c>
      <c r="G53" s="145" t="s">
        <v>62</v>
      </c>
      <c r="H53" s="145"/>
      <c r="I53" s="145"/>
      <c r="J53" s="146">
        <f t="shared" ca="1" si="0"/>
        <v>0</v>
      </c>
      <c r="K53" s="147">
        <f t="shared" ca="1" si="1"/>
        <v>0</v>
      </c>
    </row>
    <row r="54" spans="1:11" ht="15.75" customHeight="1" x14ac:dyDescent="0.35">
      <c r="A54" s="144"/>
      <c r="B54" s="145" t="s">
        <v>59</v>
      </c>
      <c r="C54" s="145"/>
      <c r="D54" s="145"/>
      <c r="E54" s="145" t="s">
        <v>60</v>
      </c>
      <c r="F54" s="145" t="s">
        <v>60</v>
      </c>
      <c r="G54" s="145" t="s">
        <v>62</v>
      </c>
      <c r="H54" s="145"/>
      <c r="I54" s="145"/>
      <c r="J54" s="146">
        <f t="shared" ca="1" si="0"/>
        <v>0</v>
      </c>
      <c r="K54" s="147">
        <f t="shared" ca="1" si="1"/>
        <v>0</v>
      </c>
    </row>
    <row r="55" spans="1:11" x14ac:dyDescent="0.35">
      <c r="A55" s="144"/>
      <c r="B55" s="145" t="s">
        <v>59</v>
      </c>
      <c r="C55" s="145"/>
      <c r="D55" s="145"/>
      <c r="E55" s="145" t="s">
        <v>60</v>
      </c>
      <c r="F55" s="145" t="s">
        <v>60</v>
      </c>
      <c r="G55" s="145" t="s">
        <v>62</v>
      </c>
      <c r="H55" s="145"/>
      <c r="I55" s="145"/>
      <c r="J55" s="146">
        <f t="shared" ca="1" si="0"/>
        <v>0</v>
      </c>
      <c r="K55" s="147">
        <f t="shared" ca="1" si="1"/>
        <v>0</v>
      </c>
    </row>
    <row r="56" spans="1:11" x14ac:dyDescent="0.35">
      <c r="A56" s="144"/>
      <c r="B56" s="145" t="s">
        <v>59</v>
      </c>
      <c r="C56" s="145"/>
      <c r="D56" s="145"/>
      <c r="E56" s="145" t="s">
        <v>60</v>
      </c>
      <c r="F56" s="145" t="s">
        <v>60</v>
      </c>
      <c r="G56" s="145" t="s">
        <v>62</v>
      </c>
      <c r="H56" s="145"/>
      <c r="I56" s="145"/>
      <c r="J56" s="146">
        <f t="shared" ca="1" si="0"/>
        <v>0</v>
      </c>
      <c r="K56" s="147">
        <f t="shared" ca="1" si="1"/>
        <v>0</v>
      </c>
    </row>
    <row r="57" spans="1:11" x14ac:dyDescent="0.35">
      <c r="A57" s="144"/>
      <c r="B57" s="145" t="s">
        <v>59</v>
      </c>
      <c r="C57" s="145"/>
      <c r="D57" s="145"/>
      <c r="E57" s="145" t="s">
        <v>60</v>
      </c>
      <c r="F57" s="145" t="s">
        <v>60</v>
      </c>
      <c r="G57" s="145" t="s">
        <v>62</v>
      </c>
      <c r="H57" s="145"/>
      <c r="I57" s="145"/>
      <c r="J57" s="146">
        <f t="shared" ca="1" si="0"/>
        <v>0</v>
      </c>
      <c r="K57" s="147">
        <f t="shared" ca="1" si="1"/>
        <v>0</v>
      </c>
    </row>
    <row r="58" spans="1:11" x14ac:dyDescent="0.35">
      <c r="A58" s="144"/>
      <c r="B58" s="145" t="s">
        <v>59</v>
      </c>
      <c r="C58" s="145"/>
      <c r="D58" s="145"/>
      <c r="E58" s="145" t="s">
        <v>60</v>
      </c>
      <c r="F58" s="145" t="s">
        <v>60</v>
      </c>
      <c r="G58" s="145" t="s">
        <v>62</v>
      </c>
      <c r="H58" s="145"/>
      <c r="I58" s="145"/>
      <c r="J58" s="146">
        <f t="shared" ca="1" si="0"/>
        <v>0</v>
      </c>
      <c r="K58" s="147">
        <f t="shared" ca="1" si="1"/>
        <v>0</v>
      </c>
    </row>
    <row r="59" spans="1:11" x14ac:dyDescent="0.35">
      <c r="A59" s="144"/>
      <c r="B59" s="145" t="s">
        <v>59</v>
      </c>
      <c r="C59" s="145"/>
      <c r="D59" s="145"/>
      <c r="E59" s="145" t="s">
        <v>60</v>
      </c>
      <c r="F59" s="145" t="s">
        <v>60</v>
      </c>
      <c r="G59" s="145" t="s">
        <v>62</v>
      </c>
      <c r="H59" s="145"/>
      <c r="I59" s="145"/>
      <c r="J59" s="146">
        <f t="shared" ca="1" si="0"/>
        <v>0</v>
      </c>
      <c r="K59" s="147">
        <f t="shared" ca="1" si="1"/>
        <v>0</v>
      </c>
    </row>
    <row r="60" spans="1:11" x14ac:dyDescent="0.35">
      <c r="A60" s="144"/>
      <c r="B60" s="145" t="s">
        <v>59</v>
      </c>
      <c r="C60" s="145"/>
      <c r="D60" s="145"/>
      <c r="E60" s="145" t="s">
        <v>60</v>
      </c>
      <c r="F60" s="145" t="s">
        <v>60</v>
      </c>
      <c r="G60" s="145" t="s">
        <v>62</v>
      </c>
      <c r="H60" s="145"/>
      <c r="I60" s="145"/>
      <c r="J60" s="146">
        <f t="shared" ca="1" si="0"/>
        <v>0</v>
      </c>
      <c r="K60" s="147">
        <f t="shared" ca="1" si="1"/>
        <v>0</v>
      </c>
    </row>
    <row r="61" spans="1:11" x14ac:dyDescent="0.35">
      <c r="A61" s="144"/>
      <c r="B61" s="145" t="s">
        <v>59</v>
      </c>
      <c r="C61" s="145"/>
      <c r="D61" s="145"/>
      <c r="E61" s="145" t="s">
        <v>60</v>
      </c>
      <c r="F61" s="145" t="s">
        <v>60</v>
      </c>
      <c r="G61" s="145" t="s">
        <v>62</v>
      </c>
      <c r="H61" s="145"/>
      <c r="I61" s="145"/>
      <c r="J61" s="146">
        <f t="shared" ca="1" si="0"/>
        <v>0</v>
      </c>
      <c r="K61" s="147">
        <f t="shared" ca="1" si="1"/>
        <v>0</v>
      </c>
    </row>
    <row r="62" spans="1:11" x14ac:dyDescent="0.35">
      <c r="A62" s="144"/>
      <c r="B62" s="145" t="s">
        <v>59</v>
      </c>
      <c r="C62" s="145"/>
      <c r="D62" s="145"/>
      <c r="E62" s="145" t="s">
        <v>60</v>
      </c>
      <c r="F62" s="145" t="s">
        <v>60</v>
      </c>
      <c r="G62" s="145" t="s">
        <v>62</v>
      </c>
      <c r="H62" s="145"/>
      <c r="I62" s="145"/>
      <c r="J62" s="146">
        <f t="shared" ca="1" si="0"/>
        <v>0</v>
      </c>
      <c r="K62" s="147">
        <f t="shared" ca="1" si="1"/>
        <v>0</v>
      </c>
    </row>
    <row r="63" spans="1:11" x14ac:dyDescent="0.35">
      <c r="A63" s="144"/>
      <c r="B63" s="145" t="s">
        <v>59</v>
      </c>
      <c r="C63" s="145"/>
      <c r="D63" s="145"/>
      <c r="E63" s="145" t="s">
        <v>60</v>
      </c>
      <c r="F63" s="145" t="s">
        <v>60</v>
      </c>
      <c r="G63" s="145" t="s">
        <v>62</v>
      </c>
      <c r="H63" s="145"/>
      <c r="I63" s="145"/>
      <c r="J63" s="146">
        <f t="shared" ca="1" si="0"/>
        <v>0</v>
      </c>
      <c r="K63" s="147">
        <f t="shared" ca="1" si="1"/>
        <v>0</v>
      </c>
    </row>
    <row r="64" spans="1:11" x14ac:dyDescent="0.35">
      <c r="A64" s="144"/>
      <c r="B64" s="145" t="s">
        <v>59</v>
      </c>
      <c r="C64" s="145"/>
      <c r="D64" s="145"/>
      <c r="E64" s="145" t="s">
        <v>60</v>
      </c>
      <c r="F64" s="145" t="s">
        <v>60</v>
      </c>
      <c r="G64" s="145" t="s">
        <v>62</v>
      </c>
      <c r="H64" s="145"/>
      <c r="I64" s="145"/>
      <c r="J64" s="146">
        <f t="shared" ca="1" si="0"/>
        <v>0</v>
      </c>
      <c r="K64" s="147">
        <f t="shared" ca="1" si="1"/>
        <v>0</v>
      </c>
    </row>
    <row r="65" spans="1:12" x14ac:dyDescent="0.35">
      <c r="A65" s="144"/>
      <c r="B65" s="145" t="s">
        <v>59</v>
      </c>
      <c r="C65" s="145"/>
      <c r="D65" s="145"/>
      <c r="E65" s="145" t="s">
        <v>60</v>
      </c>
      <c r="F65" s="145" t="s">
        <v>60</v>
      </c>
      <c r="G65" s="145" t="s">
        <v>62</v>
      </c>
      <c r="H65" s="145"/>
      <c r="I65" s="145"/>
      <c r="J65" s="146">
        <f t="shared" ca="1" si="0"/>
        <v>0</v>
      </c>
      <c r="K65" s="147">
        <f t="shared" ca="1" si="1"/>
        <v>0</v>
      </c>
    </row>
    <row r="66" spans="1:12" ht="15.75" customHeight="1" x14ac:dyDescent="0.35">
      <c r="A66" s="144"/>
      <c r="B66" s="145" t="s">
        <v>59</v>
      </c>
      <c r="C66" s="145"/>
      <c r="D66" s="145"/>
      <c r="E66" s="145" t="s">
        <v>60</v>
      </c>
      <c r="F66" s="145" t="s">
        <v>60</v>
      </c>
      <c r="G66" s="145" t="s">
        <v>62</v>
      </c>
      <c r="H66" s="145"/>
      <c r="I66" s="145"/>
      <c r="J66" s="146">
        <f t="shared" ca="1" si="0"/>
        <v>0</v>
      </c>
      <c r="K66" s="147">
        <f t="shared" ca="1" si="1"/>
        <v>0</v>
      </c>
    </row>
    <row r="67" spans="1:12" x14ac:dyDescent="0.35">
      <c r="A67" s="144"/>
      <c r="B67" s="145" t="s">
        <v>59</v>
      </c>
      <c r="C67" s="145"/>
      <c r="D67" s="145"/>
      <c r="E67" s="145" t="s">
        <v>60</v>
      </c>
      <c r="F67" s="145" t="s">
        <v>60</v>
      </c>
      <c r="G67" s="145" t="s">
        <v>62</v>
      </c>
      <c r="H67" s="145"/>
      <c r="I67" s="145"/>
      <c r="J67" s="146">
        <f t="shared" ca="1" si="0"/>
        <v>0</v>
      </c>
      <c r="K67" s="147">
        <f t="shared" ca="1" si="1"/>
        <v>0</v>
      </c>
    </row>
    <row r="68" spans="1:12" x14ac:dyDescent="0.35">
      <c r="A68" s="144"/>
      <c r="B68" s="145" t="s">
        <v>59</v>
      </c>
      <c r="C68" s="145"/>
      <c r="D68" s="145"/>
      <c r="E68" s="145" t="s">
        <v>60</v>
      </c>
      <c r="F68" s="145" t="s">
        <v>60</v>
      </c>
      <c r="G68" s="145" t="s">
        <v>62</v>
      </c>
      <c r="H68" s="145"/>
      <c r="I68" s="145"/>
      <c r="J68" s="146">
        <f t="shared" ca="1" si="0"/>
        <v>0</v>
      </c>
      <c r="K68" s="147">
        <f t="shared" ca="1" si="1"/>
        <v>0</v>
      </c>
    </row>
    <row r="69" spans="1:12" x14ac:dyDescent="0.35">
      <c r="A69" s="144"/>
      <c r="B69" s="145" t="s">
        <v>59</v>
      </c>
      <c r="C69" s="145"/>
      <c r="D69" s="145"/>
      <c r="E69" s="145" t="s">
        <v>60</v>
      </c>
      <c r="F69" s="145" t="s">
        <v>60</v>
      </c>
      <c r="G69" s="145" t="s">
        <v>62</v>
      </c>
      <c r="H69" s="145"/>
      <c r="I69" s="145"/>
      <c r="J69" s="146">
        <f t="shared" ca="1" si="0"/>
        <v>0</v>
      </c>
      <c r="K69" s="147">
        <f t="shared" ca="1" si="1"/>
        <v>0</v>
      </c>
    </row>
    <row r="70" spans="1:12" ht="15.75" customHeight="1" thickBot="1" x14ac:dyDescent="0.4">
      <c r="A70" s="148"/>
      <c r="B70" s="145" t="s">
        <v>59</v>
      </c>
      <c r="C70" s="149"/>
      <c r="D70" s="149"/>
      <c r="E70" s="145" t="s">
        <v>60</v>
      </c>
      <c r="F70" s="145" t="s">
        <v>60</v>
      </c>
      <c r="G70" s="145" t="s">
        <v>62</v>
      </c>
      <c r="H70" s="145"/>
      <c r="I70" s="145"/>
      <c r="J70" s="146">
        <f ca="1">IFERROR(PotMIM(D70,B70,E70,G70,J66,J65),0)</f>
        <v>0</v>
      </c>
      <c r="K70" s="147">
        <f t="shared" ca="1" si="1"/>
        <v>0</v>
      </c>
    </row>
    <row r="71" spans="1:12" ht="30" customHeight="1" thickBot="1" x14ac:dyDescent="0.4">
      <c r="A71" s="110"/>
      <c r="B71" s="111"/>
      <c r="C71" s="111"/>
      <c r="D71" s="111"/>
      <c r="E71" s="111"/>
      <c r="F71" s="111"/>
      <c r="G71" s="111"/>
      <c r="H71" s="111"/>
      <c r="I71" s="111"/>
      <c r="J71" s="111"/>
      <c r="K71" s="112"/>
    </row>
    <row r="72" spans="1:12" ht="27" customHeight="1" x14ac:dyDescent="0.35">
      <c r="A72" s="139" t="s">
        <v>64</v>
      </c>
      <c r="B72" s="140"/>
      <c r="C72" s="140"/>
      <c r="D72" s="140"/>
      <c r="E72" s="140"/>
      <c r="F72" s="140"/>
      <c r="G72" s="140"/>
      <c r="H72" s="140"/>
      <c r="I72" s="140"/>
      <c r="J72" s="140"/>
      <c r="K72" s="141"/>
    </row>
    <row r="73" spans="1:12" ht="17.25" customHeight="1" thickBot="1" x14ac:dyDescent="0.4">
      <c r="A73" s="118" t="s">
        <v>43</v>
      </c>
      <c r="B73" s="119"/>
      <c r="C73" s="120"/>
      <c r="D73" s="121">
        <v>15</v>
      </c>
      <c r="E73" s="122"/>
      <c r="F73" s="150"/>
      <c r="G73" s="150"/>
      <c r="H73" s="150"/>
      <c r="I73" s="151"/>
      <c r="J73" s="150"/>
      <c r="K73" s="152"/>
    </row>
    <row r="74" spans="1:12" ht="17.25" customHeight="1" x14ac:dyDescent="0.35">
      <c r="A74" s="153"/>
      <c r="B74" s="154"/>
      <c r="C74" s="154"/>
      <c r="D74" s="154"/>
      <c r="E74" s="154"/>
      <c r="F74" s="154"/>
      <c r="G74" s="154"/>
      <c r="H74" s="154"/>
      <c r="I74" s="154"/>
      <c r="J74" s="154"/>
      <c r="K74" s="155"/>
    </row>
    <row r="75" spans="1:12" ht="31" x14ac:dyDescent="0.35">
      <c r="A75" s="142" t="s">
        <v>24</v>
      </c>
      <c r="B75" s="66" t="s">
        <v>48</v>
      </c>
      <c r="C75" s="66" t="s">
        <v>49</v>
      </c>
      <c r="D75" s="66" t="s">
        <v>50</v>
      </c>
      <c r="E75" s="66" t="s">
        <v>51</v>
      </c>
      <c r="F75" s="66" t="s">
        <v>52</v>
      </c>
      <c r="G75" s="66" t="s">
        <v>53</v>
      </c>
      <c r="H75" s="66" t="s">
        <v>54</v>
      </c>
      <c r="I75" s="132" t="s">
        <v>55</v>
      </c>
      <c r="J75" s="66" t="s">
        <v>56</v>
      </c>
      <c r="K75" s="143" t="s">
        <v>57</v>
      </c>
      <c r="L75" s="143" t="s">
        <v>65</v>
      </c>
    </row>
    <row r="76" spans="1:12" x14ac:dyDescent="0.35">
      <c r="A76" s="144"/>
      <c r="B76" s="145" t="s">
        <v>66</v>
      </c>
      <c r="C76" s="145"/>
      <c r="D76" s="145">
        <v>3.75</v>
      </c>
      <c r="E76" s="156" t="s">
        <v>62</v>
      </c>
      <c r="F76" s="156" t="s">
        <v>62</v>
      </c>
      <c r="G76" s="156" t="s">
        <v>60</v>
      </c>
      <c r="H76" s="145" t="s">
        <v>62</v>
      </c>
      <c r="I76" s="145" t="s">
        <v>62</v>
      </c>
      <c r="J76" s="145"/>
      <c r="K76" s="157"/>
    </row>
    <row r="77" spans="1:12" x14ac:dyDescent="0.35">
      <c r="A77" s="144"/>
      <c r="B77" s="145"/>
      <c r="C77" s="145"/>
      <c r="D77" s="145"/>
      <c r="E77" s="156"/>
      <c r="F77" s="156"/>
      <c r="G77" s="156"/>
      <c r="H77" s="145"/>
      <c r="I77" s="145"/>
      <c r="J77" s="145"/>
      <c r="K77" s="157"/>
    </row>
    <row r="78" spans="1:12" x14ac:dyDescent="0.35">
      <c r="A78" s="144"/>
      <c r="B78" s="145"/>
      <c r="C78" s="145"/>
      <c r="D78" s="145"/>
      <c r="E78" s="156"/>
      <c r="F78" s="156"/>
      <c r="G78" s="156"/>
      <c r="H78" s="145"/>
      <c r="I78" s="145"/>
      <c r="J78" s="145"/>
      <c r="K78" s="157"/>
    </row>
    <row r="79" spans="1:12" x14ac:dyDescent="0.35">
      <c r="A79" s="144"/>
      <c r="B79" s="145"/>
      <c r="C79" s="145"/>
      <c r="D79" s="145"/>
      <c r="E79" s="156"/>
      <c r="F79" s="156"/>
      <c r="G79" s="156"/>
      <c r="H79" s="145"/>
      <c r="I79" s="145"/>
      <c r="J79" s="145"/>
      <c r="K79" s="157"/>
    </row>
    <row r="80" spans="1:12" x14ac:dyDescent="0.35">
      <c r="A80" s="144"/>
      <c r="B80" s="145"/>
      <c r="C80" s="145"/>
      <c r="D80" s="145"/>
      <c r="E80" s="156"/>
      <c r="F80" s="156"/>
      <c r="G80" s="156"/>
      <c r="H80" s="145"/>
      <c r="I80" s="145"/>
      <c r="J80" s="145"/>
      <c r="K80" s="157"/>
    </row>
    <row r="81" spans="1:11" x14ac:dyDescent="0.35">
      <c r="A81" s="144"/>
      <c r="B81" s="145"/>
      <c r="C81" s="145"/>
      <c r="D81" s="145"/>
      <c r="E81" s="156"/>
      <c r="F81" s="156"/>
      <c r="G81" s="156"/>
      <c r="H81" s="145"/>
      <c r="I81" s="145"/>
      <c r="J81" s="145"/>
      <c r="K81" s="157"/>
    </row>
    <row r="82" spans="1:11" x14ac:dyDescent="0.35">
      <c r="A82" s="144"/>
      <c r="B82" s="145"/>
      <c r="C82" s="145"/>
      <c r="D82" s="145"/>
      <c r="E82" s="156"/>
      <c r="F82" s="156"/>
      <c r="G82" s="156"/>
      <c r="H82" s="145"/>
      <c r="I82" s="145"/>
      <c r="J82" s="145"/>
      <c r="K82" s="157"/>
    </row>
    <row r="83" spans="1:11" x14ac:dyDescent="0.35">
      <c r="A83" s="144"/>
      <c r="B83" s="145"/>
      <c r="C83" s="145"/>
      <c r="D83" s="145"/>
      <c r="E83" s="156"/>
      <c r="F83" s="156"/>
      <c r="G83" s="156"/>
      <c r="H83" s="145"/>
      <c r="I83" s="145"/>
      <c r="J83" s="145"/>
      <c r="K83" s="157"/>
    </row>
    <row r="84" spans="1:11" x14ac:dyDescent="0.35">
      <c r="A84" s="158"/>
      <c r="B84" s="145"/>
      <c r="C84" s="159"/>
      <c r="D84" s="159"/>
      <c r="E84" s="160"/>
      <c r="F84" s="160"/>
      <c r="G84" s="160"/>
      <c r="H84" s="159"/>
      <c r="I84" s="159"/>
      <c r="J84" s="159"/>
      <c r="K84" s="161"/>
    </row>
    <row r="85" spans="1:11" x14ac:dyDescent="0.35">
      <c r="A85" s="144"/>
      <c r="B85" s="145"/>
      <c r="C85" s="145"/>
      <c r="D85" s="145"/>
      <c r="E85" s="156"/>
      <c r="F85" s="156"/>
      <c r="G85" s="156"/>
      <c r="H85" s="145"/>
      <c r="I85" s="145"/>
      <c r="J85" s="145"/>
      <c r="K85" s="157"/>
    </row>
    <row r="86" spans="1:11" x14ac:dyDescent="0.35">
      <c r="A86" s="162"/>
      <c r="B86" s="145"/>
      <c r="C86" s="163"/>
      <c r="D86" s="163"/>
      <c r="E86" s="164"/>
      <c r="F86" s="164"/>
      <c r="G86" s="164"/>
      <c r="H86" s="163"/>
      <c r="I86" s="163"/>
      <c r="J86" s="163"/>
      <c r="K86" s="165"/>
    </row>
    <row r="87" spans="1:11" x14ac:dyDescent="0.35">
      <c r="A87" s="162"/>
      <c r="B87" s="145"/>
      <c r="C87" s="163"/>
      <c r="D87" s="163"/>
      <c r="E87" s="164"/>
      <c r="F87" s="164"/>
      <c r="G87" s="164"/>
      <c r="H87" s="163"/>
      <c r="I87" s="163"/>
      <c r="J87" s="163"/>
      <c r="K87" s="165"/>
    </row>
    <row r="88" spans="1:11" x14ac:dyDescent="0.35">
      <c r="A88" s="162"/>
      <c r="B88" s="145"/>
      <c r="C88" s="163"/>
      <c r="D88" s="163"/>
      <c r="E88" s="164"/>
      <c r="F88" s="164"/>
      <c r="G88" s="164"/>
      <c r="H88" s="163"/>
      <c r="I88" s="163"/>
      <c r="J88" s="163"/>
      <c r="K88" s="165"/>
    </row>
    <row r="89" spans="1:11" x14ac:dyDescent="0.35">
      <c r="A89" s="162"/>
      <c r="B89" s="145"/>
      <c r="C89" s="163"/>
      <c r="D89" s="163"/>
      <c r="E89" s="164"/>
      <c r="F89" s="164"/>
      <c r="G89" s="164"/>
      <c r="H89" s="163"/>
      <c r="I89" s="163"/>
      <c r="J89" s="163"/>
      <c r="K89" s="165"/>
    </row>
    <row r="90" spans="1:11" x14ac:dyDescent="0.35">
      <c r="A90" s="162"/>
      <c r="B90" s="145"/>
      <c r="C90" s="163"/>
      <c r="D90" s="163"/>
      <c r="E90" s="164"/>
      <c r="F90" s="164"/>
      <c r="G90" s="164"/>
      <c r="H90" s="163"/>
      <c r="I90" s="163"/>
      <c r="J90" s="163"/>
      <c r="K90" s="165"/>
    </row>
    <row r="91" spans="1:11" x14ac:dyDescent="0.35">
      <c r="A91" s="162"/>
      <c r="B91" s="145"/>
      <c r="C91" s="163"/>
      <c r="D91" s="163"/>
      <c r="E91" s="164"/>
      <c r="F91" s="164"/>
      <c r="G91" s="164"/>
      <c r="H91" s="163"/>
      <c r="I91" s="163"/>
      <c r="J91" s="163"/>
      <c r="K91" s="165"/>
    </row>
    <row r="92" spans="1:11" x14ac:dyDescent="0.35">
      <c r="A92" s="144"/>
      <c r="B92" s="145"/>
      <c r="C92" s="145"/>
      <c r="D92" s="145"/>
      <c r="E92" s="156"/>
      <c r="F92" s="156"/>
      <c r="G92" s="156"/>
      <c r="H92" s="145"/>
      <c r="I92" s="145"/>
      <c r="J92" s="145"/>
      <c r="K92" s="157"/>
    </row>
    <row r="93" spans="1:11" x14ac:dyDescent="0.35">
      <c r="A93" s="144"/>
      <c r="B93" s="145"/>
      <c r="C93" s="145"/>
      <c r="D93" s="145"/>
      <c r="E93" s="156"/>
      <c r="F93" s="156"/>
      <c r="G93" s="156"/>
      <c r="H93" s="145"/>
      <c r="I93" s="145"/>
      <c r="J93" s="145"/>
      <c r="K93" s="157"/>
    </row>
    <row r="94" spans="1:11" x14ac:dyDescent="0.35">
      <c r="A94" s="144"/>
      <c r="B94" s="145"/>
      <c r="C94" s="145"/>
      <c r="D94" s="145"/>
      <c r="E94" s="156"/>
      <c r="F94" s="156"/>
      <c r="G94" s="156"/>
      <c r="H94" s="145"/>
      <c r="I94" s="145"/>
      <c r="J94" s="145"/>
      <c r="K94" s="157"/>
    </row>
    <row r="95" spans="1:11" x14ac:dyDescent="0.35">
      <c r="A95" s="144"/>
      <c r="B95" s="145"/>
      <c r="C95" s="145"/>
      <c r="D95" s="145"/>
      <c r="E95" s="156"/>
      <c r="F95" s="156"/>
      <c r="G95" s="156"/>
      <c r="H95" s="145"/>
      <c r="I95" s="145"/>
      <c r="J95" s="145"/>
      <c r="K95" s="157"/>
    </row>
    <row r="96" spans="1:11" x14ac:dyDescent="0.35">
      <c r="A96" s="144"/>
      <c r="B96" s="145"/>
      <c r="C96" s="145"/>
      <c r="D96" s="145"/>
      <c r="E96" s="156"/>
      <c r="F96" s="156"/>
      <c r="G96" s="156"/>
      <c r="H96" s="145"/>
      <c r="I96" s="145"/>
      <c r="J96" s="145"/>
      <c r="K96" s="157"/>
    </row>
    <row r="97" spans="1:12" x14ac:dyDescent="0.35">
      <c r="A97" s="144"/>
      <c r="B97" s="145"/>
      <c r="C97" s="145"/>
      <c r="D97" s="145"/>
      <c r="E97" s="156"/>
      <c r="F97" s="156"/>
      <c r="G97" s="156"/>
      <c r="H97" s="145"/>
      <c r="I97" s="145"/>
      <c r="J97" s="145"/>
      <c r="K97" s="157"/>
    </row>
    <row r="98" spans="1:12" x14ac:dyDescent="0.35">
      <c r="A98" s="144"/>
      <c r="B98" s="145"/>
      <c r="C98" s="145"/>
      <c r="D98" s="145"/>
      <c r="E98" s="156"/>
      <c r="F98" s="156"/>
      <c r="G98" s="156"/>
      <c r="H98" s="145"/>
      <c r="I98" s="145"/>
      <c r="J98" s="145"/>
      <c r="K98" s="157"/>
    </row>
    <row r="99" spans="1:12" x14ac:dyDescent="0.35">
      <c r="A99" s="158"/>
      <c r="B99" s="145"/>
      <c r="C99" s="159"/>
      <c r="D99" s="159"/>
      <c r="E99" s="160"/>
      <c r="F99" s="160"/>
      <c r="G99" s="160"/>
      <c r="H99" s="159"/>
      <c r="I99" s="159"/>
      <c r="J99" s="159"/>
      <c r="K99" s="161"/>
    </row>
    <row r="100" spans="1:12" x14ac:dyDescent="0.35">
      <c r="A100" s="144"/>
      <c r="B100" s="145"/>
      <c r="C100" s="145"/>
      <c r="D100" s="145"/>
      <c r="E100" s="156"/>
      <c r="F100" s="156"/>
      <c r="G100" s="156"/>
      <c r="H100" s="145"/>
      <c r="I100" s="145"/>
      <c r="J100" s="145"/>
      <c r="K100" s="157"/>
    </row>
    <row r="101" spans="1:12" x14ac:dyDescent="0.35">
      <c r="A101" s="162"/>
      <c r="B101" s="145"/>
      <c r="C101" s="163"/>
      <c r="D101" s="163"/>
      <c r="E101" s="164"/>
      <c r="F101" s="164"/>
      <c r="G101" s="164"/>
      <c r="H101" s="163"/>
      <c r="I101" s="163"/>
      <c r="J101" s="163"/>
      <c r="K101" s="165"/>
    </row>
    <row r="102" spans="1:12" x14ac:dyDescent="0.35">
      <c r="A102" s="162"/>
      <c r="B102" s="145"/>
      <c r="C102" s="163"/>
      <c r="D102" s="163"/>
      <c r="E102" s="164"/>
      <c r="F102" s="164"/>
      <c r="G102" s="164"/>
      <c r="H102" s="163"/>
      <c r="I102" s="163"/>
      <c r="J102" s="163"/>
      <c r="K102" s="165"/>
    </row>
    <row r="103" spans="1:12" x14ac:dyDescent="0.35">
      <c r="A103" s="162"/>
      <c r="B103" s="145"/>
      <c r="C103" s="163"/>
      <c r="D103" s="163"/>
      <c r="E103" s="164"/>
      <c r="F103" s="164"/>
      <c r="G103" s="164"/>
      <c r="H103" s="163"/>
      <c r="I103" s="163"/>
      <c r="J103" s="163"/>
      <c r="K103" s="165"/>
    </row>
    <row r="104" spans="1:12" x14ac:dyDescent="0.35">
      <c r="A104" s="162"/>
      <c r="B104" s="145"/>
      <c r="C104" s="163"/>
      <c r="D104" s="163"/>
      <c r="E104" s="164"/>
      <c r="F104" s="164"/>
      <c r="G104" s="164"/>
      <c r="H104" s="163"/>
      <c r="I104" s="163"/>
      <c r="J104" s="163"/>
      <c r="K104" s="165"/>
    </row>
    <row r="105" spans="1:12" x14ac:dyDescent="0.35">
      <c r="A105" s="162"/>
      <c r="B105" s="145"/>
      <c r="C105" s="163"/>
      <c r="D105" s="163"/>
      <c r="E105" s="164"/>
      <c r="F105" s="164"/>
      <c r="G105" s="164"/>
      <c r="H105" s="163"/>
      <c r="I105" s="163"/>
      <c r="J105" s="163"/>
      <c r="K105" s="165"/>
    </row>
    <row r="106" spans="1:12" ht="16" thickBot="1" x14ac:dyDescent="0.4">
      <c r="A106" s="148"/>
      <c r="B106" s="145"/>
      <c r="C106" s="149"/>
      <c r="D106" s="149"/>
      <c r="E106" s="166"/>
      <c r="F106" s="166"/>
      <c r="G106" s="166"/>
      <c r="H106" s="149"/>
      <c r="I106" s="149"/>
      <c r="J106" s="149"/>
      <c r="K106" s="167"/>
    </row>
    <row r="107" spans="1:12" ht="45.75" customHeight="1" thickBot="1" x14ac:dyDescent="0.4">
      <c r="A107" s="111"/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</row>
    <row r="108" spans="1:12" ht="37.5" customHeight="1" thickBot="1" x14ac:dyDescent="0.4">
      <c r="A108" s="24" t="s">
        <v>67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6"/>
    </row>
    <row r="109" spans="1:12" ht="26.25" customHeight="1" thickBot="1" x14ac:dyDescent="0.4">
      <c r="A109" s="168" t="s">
        <v>41</v>
      </c>
      <c r="B109" s="169"/>
      <c r="C109" s="170"/>
      <c r="D109" s="171"/>
      <c r="E109" s="172"/>
      <c r="F109" s="168" t="s">
        <v>43</v>
      </c>
      <c r="G109" s="169"/>
      <c r="H109" s="169"/>
      <c r="I109" s="170"/>
      <c r="J109" s="171"/>
      <c r="K109" s="172"/>
    </row>
    <row r="110" spans="1:12" ht="35.25" customHeight="1" thickBot="1" x14ac:dyDescent="0.4">
      <c r="A110" s="61" t="s">
        <v>68</v>
      </c>
      <c r="B110" s="62"/>
      <c r="C110" s="62"/>
      <c r="D110" s="62"/>
      <c r="E110" s="62"/>
      <c r="F110" s="62"/>
      <c r="G110" s="62"/>
      <c r="H110" s="62"/>
      <c r="I110" s="62"/>
      <c r="J110" s="62"/>
      <c r="K110" s="63"/>
    </row>
    <row r="111" spans="1:12" ht="30" customHeight="1" x14ac:dyDescent="0.35">
      <c r="A111" s="173" t="s">
        <v>47</v>
      </c>
      <c r="B111" s="174"/>
      <c r="C111" s="174"/>
      <c r="D111" s="174"/>
      <c r="E111" s="174"/>
      <c r="F111" s="174"/>
      <c r="G111" s="174"/>
      <c r="H111" s="174"/>
      <c r="I111" s="174"/>
      <c r="J111" s="174"/>
      <c r="K111" s="175"/>
    </row>
    <row r="112" spans="1:12" ht="31" x14ac:dyDescent="0.35">
      <c r="A112" s="142" t="s">
        <v>24</v>
      </c>
      <c r="B112" s="66" t="s">
        <v>48</v>
      </c>
      <c r="C112" s="66" t="s">
        <v>49</v>
      </c>
      <c r="D112" s="66" t="s">
        <v>50</v>
      </c>
      <c r="E112" s="66" t="s">
        <v>51</v>
      </c>
      <c r="F112" s="66" t="s">
        <v>52</v>
      </c>
      <c r="G112" s="66" t="s">
        <v>53</v>
      </c>
      <c r="H112" s="66" t="s">
        <v>54</v>
      </c>
      <c r="I112" s="65" t="s">
        <v>55</v>
      </c>
      <c r="J112" s="66" t="s">
        <v>69</v>
      </c>
      <c r="K112" s="143" t="s">
        <v>57</v>
      </c>
      <c r="L112" s="143" t="s">
        <v>65</v>
      </c>
    </row>
    <row r="113" spans="1:11" x14ac:dyDescent="0.35">
      <c r="A113" s="144"/>
      <c r="B113" s="145"/>
      <c r="C113" s="145"/>
      <c r="D113" s="145"/>
      <c r="E113" s="145"/>
      <c r="F113" s="145"/>
      <c r="G113" s="145"/>
      <c r="H113" s="145"/>
      <c r="I113" s="145"/>
      <c r="J113" s="145"/>
      <c r="K113" s="157"/>
    </row>
    <row r="114" spans="1:11" x14ac:dyDescent="0.35">
      <c r="A114" s="144"/>
      <c r="B114" s="145"/>
      <c r="C114" s="145"/>
      <c r="D114" s="145"/>
      <c r="E114" s="145"/>
      <c r="F114" s="145"/>
      <c r="G114" s="145"/>
      <c r="H114" s="145"/>
      <c r="I114" s="145"/>
      <c r="J114" s="145"/>
      <c r="K114" s="157"/>
    </row>
    <row r="115" spans="1:11" x14ac:dyDescent="0.35">
      <c r="A115" s="144"/>
      <c r="B115" s="145"/>
      <c r="C115" s="145"/>
      <c r="D115" s="145"/>
      <c r="E115" s="145"/>
      <c r="F115" s="145"/>
      <c r="G115" s="145"/>
      <c r="H115" s="145"/>
      <c r="I115" s="145"/>
      <c r="J115" s="145"/>
      <c r="K115" s="157"/>
    </row>
    <row r="116" spans="1:11" x14ac:dyDescent="0.35">
      <c r="A116" s="144"/>
      <c r="B116" s="145"/>
      <c r="C116" s="145"/>
      <c r="D116" s="145"/>
      <c r="E116" s="145"/>
      <c r="F116" s="145"/>
      <c r="G116" s="145"/>
      <c r="H116" s="145"/>
      <c r="I116" s="145"/>
      <c r="J116" s="145"/>
      <c r="K116" s="157"/>
    </row>
    <row r="117" spans="1:11" x14ac:dyDescent="0.35">
      <c r="A117" s="144"/>
      <c r="B117" s="145"/>
      <c r="C117" s="145"/>
      <c r="D117" s="145"/>
      <c r="E117" s="145"/>
      <c r="F117" s="145"/>
      <c r="G117" s="145"/>
      <c r="H117" s="145"/>
      <c r="I117" s="145"/>
      <c r="J117" s="145"/>
      <c r="K117" s="157"/>
    </row>
    <row r="118" spans="1:11" x14ac:dyDescent="0.35">
      <c r="A118" s="144"/>
      <c r="B118" s="145"/>
      <c r="C118" s="145"/>
      <c r="D118" s="145"/>
      <c r="E118" s="145"/>
      <c r="F118" s="145"/>
      <c r="G118" s="145"/>
      <c r="H118" s="145"/>
      <c r="I118" s="145"/>
      <c r="J118" s="145"/>
      <c r="K118" s="157"/>
    </row>
    <row r="119" spans="1:11" x14ac:dyDescent="0.35">
      <c r="A119" s="144"/>
      <c r="B119" s="145"/>
      <c r="C119" s="145"/>
      <c r="D119" s="145"/>
      <c r="E119" s="145"/>
      <c r="F119" s="145"/>
      <c r="G119" s="145"/>
      <c r="H119" s="145"/>
      <c r="I119" s="145"/>
      <c r="J119" s="145"/>
      <c r="K119" s="157"/>
    </row>
    <row r="120" spans="1:11" x14ac:dyDescent="0.35">
      <c r="A120" s="144"/>
      <c r="B120" s="145"/>
      <c r="C120" s="145"/>
      <c r="D120" s="145"/>
      <c r="E120" s="145"/>
      <c r="F120" s="145"/>
      <c r="G120" s="145"/>
      <c r="H120" s="145"/>
      <c r="I120" s="145"/>
      <c r="J120" s="145"/>
      <c r="K120" s="157"/>
    </row>
    <row r="121" spans="1:11" x14ac:dyDescent="0.35">
      <c r="A121" s="144"/>
      <c r="B121" s="145"/>
      <c r="C121" s="145"/>
      <c r="D121" s="145"/>
      <c r="E121" s="145"/>
      <c r="F121" s="145"/>
      <c r="G121" s="145"/>
      <c r="H121" s="145"/>
      <c r="I121" s="145"/>
      <c r="J121" s="145"/>
      <c r="K121" s="157"/>
    </row>
    <row r="122" spans="1:11" x14ac:dyDescent="0.35">
      <c r="A122" s="144"/>
      <c r="B122" s="145"/>
      <c r="C122" s="145"/>
      <c r="D122" s="145"/>
      <c r="E122" s="145"/>
      <c r="F122" s="145"/>
      <c r="G122" s="145"/>
      <c r="H122" s="145"/>
      <c r="I122" s="145"/>
      <c r="J122" s="145"/>
      <c r="K122" s="157"/>
    </row>
    <row r="123" spans="1:11" x14ac:dyDescent="0.35">
      <c r="A123" s="144"/>
      <c r="B123" s="145"/>
      <c r="C123" s="145"/>
      <c r="D123" s="145"/>
      <c r="E123" s="145"/>
      <c r="F123" s="145"/>
      <c r="G123" s="145"/>
      <c r="H123" s="145"/>
      <c r="I123" s="145"/>
      <c r="J123" s="145"/>
      <c r="K123" s="157"/>
    </row>
    <row r="124" spans="1:11" x14ac:dyDescent="0.35">
      <c r="A124" s="144"/>
      <c r="B124" s="145"/>
      <c r="C124" s="145"/>
      <c r="D124" s="145"/>
      <c r="E124" s="145"/>
      <c r="F124" s="145"/>
      <c r="G124" s="145"/>
      <c r="H124" s="145"/>
      <c r="I124" s="145"/>
      <c r="J124" s="145"/>
      <c r="K124" s="157"/>
    </row>
    <row r="125" spans="1:11" x14ac:dyDescent="0.35">
      <c r="A125" s="144"/>
      <c r="B125" s="145"/>
      <c r="C125" s="145"/>
      <c r="D125" s="145"/>
      <c r="E125" s="145"/>
      <c r="F125" s="145"/>
      <c r="G125" s="145"/>
      <c r="H125" s="145"/>
      <c r="I125" s="145"/>
      <c r="J125" s="145"/>
      <c r="K125" s="157"/>
    </row>
    <row r="126" spans="1:11" x14ac:dyDescent="0.35">
      <c r="A126" s="144"/>
      <c r="B126" s="145"/>
      <c r="C126" s="145"/>
      <c r="D126" s="145"/>
      <c r="E126" s="145"/>
      <c r="F126" s="145"/>
      <c r="G126" s="145"/>
      <c r="H126" s="145"/>
      <c r="I126" s="145"/>
      <c r="J126" s="145"/>
      <c r="K126" s="157"/>
    </row>
    <row r="127" spans="1:11" x14ac:dyDescent="0.35">
      <c r="A127" s="144"/>
      <c r="B127" s="145"/>
      <c r="C127" s="145"/>
      <c r="D127" s="145"/>
      <c r="E127" s="145"/>
      <c r="F127" s="145"/>
      <c r="G127" s="145"/>
      <c r="H127" s="145"/>
      <c r="I127" s="145"/>
      <c r="J127" s="145"/>
      <c r="K127" s="157"/>
    </row>
    <row r="128" spans="1:11" ht="16" thickBot="1" x14ac:dyDescent="0.4">
      <c r="A128" s="176"/>
      <c r="B128" s="177"/>
      <c r="C128" s="177"/>
      <c r="D128" s="177"/>
      <c r="E128" s="177"/>
      <c r="F128" s="177"/>
      <c r="G128" s="177"/>
      <c r="H128" s="177"/>
      <c r="I128" s="177"/>
      <c r="J128" s="177"/>
      <c r="K128" s="178"/>
    </row>
    <row r="129" spans="1:12" ht="27.75" customHeight="1" thickBot="1" x14ac:dyDescent="0.4">
      <c r="A129" s="110"/>
      <c r="B129" s="111"/>
      <c r="C129" s="111"/>
      <c r="D129" s="111"/>
      <c r="E129" s="111"/>
      <c r="F129" s="111"/>
      <c r="G129" s="111"/>
      <c r="H129" s="111"/>
      <c r="I129" s="111"/>
      <c r="J129" s="111"/>
      <c r="K129" s="112"/>
    </row>
    <row r="130" spans="1:12" ht="31.5" customHeight="1" x14ac:dyDescent="0.35">
      <c r="A130" s="173" t="s">
        <v>64</v>
      </c>
      <c r="B130" s="174"/>
      <c r="C130" s="174"/>
      <c r="D130" s="174"/>
      <c r="E130" s="174"/>
      <c r="F130" s="174"/>
      <c r="G130" s="174"/>
      <c r="H130" s="174"/>
      <c r="I130" s="174"/>
      <c r="J130" s="174"/>
      <c r="K130" s="175"/>
    </row>
    <row r="131" spans="1:12" ht="31" x14ac:dyDescent="0.35">
      <c r="A131" s="142" t="s">
        <v>24</v>
      </c>
      <c r="B131" s="66" t="s">
        <v>48</v>
      </c>
      <c r="C131" s="66" t="s">
        <v>49</v>
      </c>
      <c r="D131" s="66" t="s">
        <v>50</v>
      </c>
      <c r="E131" s="66" t="s">
        <v>51</v>
      </c>
      <c r="F131" s="66" t="s">
        <v>52</v>
      </c>
      <c r="G131" s="66" t="s">
        <v>53</v>
      </c>
      <c r="H131" s="66" t="s">
        <v>54</v>
      </c>
      <c r="I131" s="65" t="s">
        <v>55</v>
      </c>
      <c r="J131" s="66" t="s">
        <v>69</v>
      </c>
      <c r="K131" s="143" t="s">
        <v>57</v>
      </c>
      <c r="L131" s="143" t="s">
        <v>65</v>
      </c>
    </row>
    <row r="132" spans="1:12" x14ac:dyDescent="0.35">
      <c r="A132" s="144"/>
      <c r="B132" s="145"/>
      <c r="C132" s="145"/>
      <c r="D132" s="145"/>
      <c r="E132" s="145"/>
      <c r="F132" s="145"/>
      <c r="G132" s="145"/>
      <c r="H132" s="145"/>
      <c r="I132" s="145"/>
      <c r="J132" s="145"/>
      <c r="K132" s="157"/>
    </row>
    <row r="133" spans="1:12" x14ac:dyDescent="0.35">
      <c r="A133" s="144"/>
      <c r="B133" s="145"/>
      <c r="C133" s="145"/>
      <c r="D133" s="145"/>
      <c r="E133" s="145"/>
      <c r="F133" s="145"/>
      <c r="G133" s="145"/>
      <c r="H133" s="145"/>
      <c r="I133" s="145"/>
      <c r="J133" s="145"/>
      <c r="K133" s="157"/>
    </row>
    <row r="134" spans="1:12" x14ac:dyDescent="0.35">
      <c r="A134" s="144"/>
      <c r="B134" s="145"/>
      <c r="C134" s="145"/>
      <c r="D134" s="145"/>
      <c r="E134" s="145"/>
      <c r="F134" s="145"/>
      <c r="G134" s="145"/>
      <c r="H134" s="145"/>
      <c r="I134" s="145"/>
      <c r="J134" s="145"/>
      <c r="K134" s="157"/>
    </row>
    <row r="135" spans="1:12" x14ac:dyDescent="0.35">
      <c r="A135" s="144"/>
      <c r="B135" s="145"/>
      <c r="C135" s="145"/>
      <c r="D135" s="145"/>
      <c r="E135" s="145"/>
      <c r="F135" s="145"/>
      <c r="G135" s="145"/>
      <c r="H135" s="145"/>
      <c r="I135" s="145"/>
      <c r="J135" s="145"/>
      <c r="K135" s="157"/>
    </row>
    <row r="136" spans="1:12" x14ac:dyDescent="0.35">
      <c r="A136" s="144"/>
      <c r="B136" s="145"/>
      <c r="C136" s="145"/>
      <c r="D136" s="145"/>
      <c r="E136" s="145"/>
      <c r="F136" s="145"/>
      <c r="G136" s="145"/>
      <c r="H136" s="145"/>
      <c r="I136" s="145"/>
      <c r="J136" s="145"/>
      <c r="K136" s="157"/>
    </row>
    <row r="137" spans="1:12" x14ac:dyDescent="0.35">
      <c r="A137" s="162"/>
      <c r="B137" s="164"/>
      <c r="C137" s="163"/>
      <c r="D137" s="163"/>
      <c r="E137" s="164"/>
      <c r="F137" s="164"/>
      <c r="G137" s="164"/>
      <c r="H137" s="163"/>
      <c r="I137" s="163"/>
      <c r="J137" s="163"/>
      <c r="K137" s="165"/>
    </row>
    <row r="138" spans="1:12" x14ac:dyDescent="0.35">
      <c r="A138" s="162"/>
      <c r="B138" s="164"/>
      <c r="C138" s="163"/>
      <c r="D138" s="163"/>
      <c r="E138" s="164"/>
      <c r="F138" s="164"/>
      <c r="G138" s="164"/>
      <c r="H138" s="163"/>
      <c r="I138" s="163"/>
      <c r="J138" s="163"/>
      <c r="K138" s="165"/>
    </row>
    <row r="139" spans="1:12" x14ac:dyDescent="0.35">
      <c r="A139" s="162"/>
      <c r="B139" s="164"/>
      <c r="C139" s="163"/>
      <c r="D139" s="163"/>
      <c r="E139" s="164"/>
      <c r="F139" s="164"/>
      <c r="G139" s="164"/>
      <c r="H139" s="163"/>
      <c r="I139" s="163"/>
      <c r="J139" s="163"/>
      <c r="K139" s="165"/>
    </row>
    <row r="140" spans="1:12" x14ac:dyDescent="0.35">
      <c r="A140" s="162"/>
      <c r="B140" s="164"/>
      <c r="C140" s="163"/>
      <c r="D140" s="163"/>
      <c r="E140" s="164"/>
      <c r="F140" s="164"/>
      <c r="G140" s="164"/>
      <c r="H140" s="163"/>
      <c r="I140" s="163"/>
      <c r="J140" s="163"/>
      <c r="K140" s="165"/>
    </row>
    <row r="141" spans="1:12" x14ac:dyDescent="0.35">
      <c r="A141" s="162"/>
      <c r="B141" s="164"/>
      <c r="C141" s="163"/>
      <c r="D141" s="163"/>
      <c r="E141" s="164"/>
      <c r="F141" s="164"/>
      <c r="G141" s="164"/>
      <c r="H141" s="163"/>
      <c r="I141" s="163"/>
      <c r="J141" s="163"/>
      <c r="K141" s="165"/>
    </row>
    <row r="142" spans="1:12" x14ac:dyDescent="0.35">
      <c r="A142" s="162"/>
      <c r="B142" s="164"/>
      <c r="C142" s="163"/>
      <c r="D142" s="163"/>
      <c r="E142" s="164"/>
      <c r="F142" s="164"/>
      <c r="G142" s="164"/>
      <c r="H142" s="163"/>
      <c r="I142" s="163"/>
      <c r="J142" s="163"/>
      <c r="K142" s="165"/>
    </row>
    <row r="143" spans="1:12" x14ac:dyDescent="0.35">
      <c r="A143" s="162"/>
      <c r="B143" s="164"/>
      <c r="C143" s="163"/>
      <c r="D143" s="163"/>
      <c r="E143" s="164"/>
      <c r="F143" s="164"/>
      <c r="G143" s="164"/>
      <c r="H143" s="163"/>
      <c r="I143" s="163"/>
      <c r="J143" s="163"/>
      <c r="K143" s="165"/>
    </row>
    <row r="144" spans="1:12" x14ac:dyDescent="0.35">
      <c r="A144" s="162"/>
      <c r="B144" s="164"/>
      <c r="C144" s="163"/>
      <c r="D144" s="163"/>
      <c r="E144" s="164"/>
      <c r="F144" s="164"/>
      <c r="G144" s="164"/>
      <c r="H144" s="163"/>
      <c r="I144" s="163"/>
      <c r="J144" s="163"/>
      <c r="K144" s="165"/>
    </row>
    <row r="145" spans="1:11" x14ac:dyDescent="0.35">
      <c r="A145" s="162"/>
      <c r="B145" s="164"/>
      <c r="C145" s="163"/>
      <c r="D145" s="163"/>
      <c r="E145" s="164"/>
      <c r="F145" s="164"/>
      <c r="G145" s="164"/>
      <c r="H145" s="163"/>
      <c r="I145" s="163"/>
      <c r="J145" s="163"/>
      <c r="K145" s="165"/>
    </row>
    <row r="146" spans="1:11" x14ac:dyDescent="0.35">
      <c r="A146" s="162"/>
      <c r="B146" s="164"/>
      <c r="C146" s="163"/>
      <c r="D146" s="163"/>
      <c r="E146" s="164"/>
      <c r="F146" s="164"/>
      <c r="G146" s="164"/>
      <c r="H146" s="163"/>
      <c r="I146" s="163"/>
      <c r="J146" s="163"/>
      <c r="K146" s="165"/>
    </row>
    <row r="147" spans="1:11" x14ac:dyDescent="0.35">
      <c r="A147" s="162"/>
      <c r="B147" s="164"/>
      <c r="C147" s="163"/>
      <c r="D147" s="163"/>
      <c r="E147" s="164"/>
      <c r="F147" s="164"/>
      <c r="G147" s="164"/>
      <c r="H147" s="163"/>
      <c r="I147" s="163"/>
      <c r="J147" s="163"/>
      <c r="K147" s="165"/>
    </row>
    <row r="148" spans="1:11" x14ac:dyDescent="0.35">
      <c r="A148" s="162"/>
      <c r="B148" s="164"/>
      <c r="C148" s="163"/>
      <c r="D148" s="163"/>
      <c r="E148" s="164"/>
      <c r="F148" s="164"/>
      <c r="G148" s="164"/>
      <c r="H148" s="163"/>
      <c r="I148" s="163"/>
      <c r="J148" s="163"/>
      <c r="K148" s="165"/>
    </row>
    <row r="149" spans="1:11" x14ac:dyDescent="0.35">
      <c r="A149" s="162"/>
      <c r="B149" s="164"/>
      <c r="C149" s="163"/>
      <c r="D149" s="163"/>
      <c r="E149" s="164"/>
      <c r="F149" s="164"/>
      <c r="G149" s="164"/>
      <c r="H149" s="163"/>
      <c r="I149" s="163"/>
      <c r="J149" s="163"/>
      <c r="K149" s="165"/>
    </row>
    <row r="150" spans="1:11" ht="16" thickBot="1" x14ac:dyDescent="0.4">
      <c r="A150" s="148"/>
      <c r="B150" s="166"/>
      <c r="C150" s="149"/>
      <c r="D150" s="149"/>
      <c r="E150" s="166"/>
      <c r="F150" s="166"/>
      <c r="G150" s="166"/>
      <c r="H150" s="149"/>
      <c r="I150" s="149"/>
      <c r="J150" s="149"/>
      <c r="K150" s="167"/>
    </row>
    <row r="151" spans="1:11" ht="48" customHeight="1" x14ac:dyDescent="0.35">
      <c r="A151" s="111"/>
      <c r="B151" s="111"/>
      <c r="C151" s="111"/>
      <c r="D151" s="111"/>
      <c r="E151" s="111"/>
      <c r="F151" s="111"/>
      <c r="G151" s="111"/>
      <c r="H151" s="111"/>
      <c r="I151" s="111"/>
      <c r="J151" s="111"/>
      <c r="K151" s="111"/>
    </row>
    <row r="152" spans="1:11" s="180" customFormat="1" ht="33.75" customHeight="1" x14ac:dyDescent="0.35">
      <c r="A152" s="179" t="s">
        <v>70</v>
      </c>
      <c r="B152" s="179"/>
      <c r="C152" s="179"/>
      <c r="D152" s="179"/>
      <c r="E152" s="179"/>
      <c r="F152" s="179"/>
      <c r="G152" s="179"/>
      <c r="H152" s="179"/>
      <c r="I152" s="179"/>
      <c r="J152" s="179"/>
      <c r="K152" s="179"/>
    </row>
    <row r="153" spans="1:11" ht="15.75" customHeight="1" x14ac:dyDescent="0.35">
      <c r="K153" s="181"/>
    </row>
    <row r="154" spans="1:11" ht="15.75" customHeight="1" x14ac:dyDescent="0.35">
      <c r="A154" s="182" t="s">
        <v>71</v>
      </c>
      <c r="B154" s="183"/>
      <c r="C154" s="145"/>
      <c r="D154" s="43" t="s">
        <v>72</v>
      </c>
      <c r="G154" s="43" t="s">
        <v>73</v>
      </c>
      <c r="H154" s="184"/>
      <c r="I154" s="184"/>
      <c r="J154" s="43" t="s">
        <v>72</v>
      </c>
      <c r="K154" s="181"/>
    </row>
    <row r="155" spans="1:11" ht="15.75" customHeight="1" x14ac:dyDescent="0.35">
      <c r="K155" s="181"/>
    </row>
    <row r="156" spans="1:11" ht="15.75" customHeight="1" x14ac:dyDescent="0.35">
      <c r="A156" s="44" t="s">
        <v>74</v>
      </c>
      <c r="B156" s="44"/>
      <c r="C156" s="145"/>
      <c r="G156" s="44" t="s">
        <v>75</v>
      </c>
      <c r="H156" s="44"/>
      <c r="I156" s="184"/>
      <c r="J156" s="184"/>
      <c r="K156" s="184"/>
    </row>
    <row r="157" spans="1:11" ht="15.75" customHeight="1" x14ac:dyDescent="0.35">
      <c r="K157" s="181"/>
    </row>
    <row r="158" spans="1:11" ht="15.75" customHeight="1" x14ac:dyDescent="0.35">
      <c r="K158" s="181"/>
    </row>
    <row r="159" spans="1:11" ht="15.75" customHeight="1" x14ac:dyDescent="0.35">
      <c r="A159" s="44" t="s">
        <v>76</v>
      </c>
      <c r="B159" s="44"/>
      <c r="C159" s="145"/>
      <c r="G159" s="181" t="s">
        <v>77</v>
      </c>
      <c r="H159" s="181">
        <v>24</v>
      </c>
      <c r="J159" s="181">
        <f>H160-H159</f>
        <v>11</v>
      </c>
      <c r="K159" s="185">
        <v>0.4</v>
      </c>
    </row>
    <row r="160" spans="1:11" ht="15.75" customHeight="1" x14ac:dyDescent="0.35">
      <c r="A160" s="44" t="s">
        <v>78</v>
      </c>
      <c r="B160" s="44"/>
      <c r="C160" s="145"/>
      <c r="G160" s="181" t="s">
        <v>79</v>
      </c>
      <c r="H160" s="181">
        <v>35</v>
      </c>
      <c r="J160" s="181">
        <f>H161-H159</f>
        <v>6</v>
      </c>
      <c r="K160" s="185">
        <f>K159</f>
        <v>0.4</v>
      </c>
    </row>
    <row r="161" spans="1:11" ht="15.75" customHeight="1" x14ac:dyDescent="0.35">
      <c r="A161" s="44" t="s">
        <v>80</v>
      </c>
      <c r="B161" s="44"/>
      <c r="C161" s="145"/>
      <c r="G161" s="181" t="s">
        <v>81</v>
      </c>
      <c r="H161" s="181">
        <v>30</v>
      </c>
      <c r="J161" s="186">
        <f>(J159-J160)/J159</f>
        <v>0.45454545454545453</v>
      </c>
      <c r="K161" s="181"/>
    </row>
    <row r="162" spans="1:11" ht="15.75" customHeight="1" x14ac:dyDescent="0.35">
      <c r="B162" s="181" t="s">
        <v>82</v>
      </c>
      <c r="K162" s="181"/>
    </row>
    <row r="163" spans="1:11" ht="15.75" customHeight="1" x14ac:dyDescent="0.35">
      <c r="B163" s="181" t="s">
        <v>83</v>
      </c>
      <c r="K163" s="181"/>
    </row>
    <row r="164" spans="1:11" ht="15.75" customHeight="1" x14ac:dyDescent="0.35">
      <c r="B164" s="181" t="s">
        <v>84</v>
      </c>
      <c r="K164" s="181"/>
    </row>
    <row r="165" spans="1:11" ht="15.75" customHeight="1" x14ac:dyDescent="0.35">
      <c r="B165" s="181" t="s">
        <v>85</v>
      </c>
      <c r="K165" s="181"/>
    </row>
    <row r="166" spans="1:11" ht="15.75" customHeight="1" thickBot="1" x14ac:dyDescent="0.4">
      <c r="B166" s="181" t="s">
        <v>86</v>
      </c>
      <c r="K166" s="181"/>
    </row>
    <row r="167" spans="1:11" ht="33.75" customHeight="1" thickBot="1" x14ac:dyDescent="0.4">
      <c r="A167" s="24" t="s">
        <v>87</v>
      </c>
      <c r="B167" s="25"/>
      <c r="C167" s="25"/>
      <c r="D167" s="25"/>
      <c r="E167" s="25"/>
      <c r="F167" s="25"/>
      <c r="G167" s="25"/>
      <c r="H167" s="25"/>
      <c r="I167" s="25"/>
      <c r="J167" s="25"/>
      <c r="K167" s="26"/>
    </row>
    <row r="168" spans="1:11" x14ac:dyDescent="0.35">
      <c r="A168" s="107"/>
      <c r="B168" s="108"/>
      <c r="C168" s="108"/>
      <c r="D168" s="108"/>
      <c r="E168" s="108"/>
      <c r="F168" s="108"/>
      <c r="G168" s="108"/>
      <c r="H168" s="108"/>
      <c r="I168" s="108"/>
      <c r="J168" s="108"/>
      <c r="K168" s="109"/>
    </row>
    <row r="169" spans="1:11" x14ac:dyDescent="0.35">
      <c r="A169" s="110"/>
      <c r="B169" s="111"/>
      <c r="C169" s="111"/>
      <c r="D169" s="111"/>
      <c r="E169" s="111"/>
      <c r="F169" s="111"/>
      <c r="G169" s="111"/>
      <c r="H169" s="111"/>
      <c r="I169" s="111"/>
      <c r="J169" s="111"/>
      <c r="K169" s="112"/>
    </row>
    <row r="170" spans="1:11" x14ac:dyDescent="0.35">
      <c r="A170" s="187" t="s">
        <v>88</v>
      </c>
      <c r="B170" s="187"/>
      <c r="C170" s="187"/>
      <c r="D170" s="187"/>
      <c r="E170" s="187"/>
      <c r="F170" s="188"/>
      <c r="G170" s="187" t="s">
        <v>89</v>
      </c>
      <c r="H170" s="187"/>
      <c r="I170" s="187"/>
      <c r="J170" s="187"/>
      <c r="K170" s="187"/>
    </row>
    <row r="171" spans="1:11" x14ac:dyDescent="0.35">
      <c r="A171" s="189"/>
      <c r="B171" s="189"/>
      <c r="C171" s="189"/>
      <c r="D171" s="189"/>
      <c r="E171" s="189"/>
      <c r="G171" s="189" t="s">
        <v>47</v>
      </c>
      <c r="H171" s="189"/>
      <c r="I171" s="189"/>
      <c r="J171" s="189"/>
      <c r="K171" s="189"/>
    </row>
    <row r="172" spans="1:11" x14ac:dyDescent="0.35">
      <c r="A172" s="190"/>
      <c r="B172" s="183"/>
      <c r="C172" s="43" t="s">
        <v>90</v>
      </c>
      <c r="D172" s="43" t="s">
        <v>91</v>
      </c>
      <c r="E172" s="43" t="s">
        <v>92</v>
      </c>
      <c r="G172" s="43"/>
      <c r="H172" s="43" t="s">
        <v>93</v>
      </c>
      <c r="I172" s="43" t="s">
        <v>94</v>
      </c>
      <c r="J172" s="43" t="s">
        <v>34</v>
      </c>
      <c r="K172" s="43" t="s">
        <v>92</v>
      </c>
    </row>
    <row r="173" spans="1:11" x14ac:dyDescent="0.35">
      <c r="A173" s="191" t="s">
        <v>95</v>
      </c>
      <c r="B173" s="191"/>
      <c r="C173" s="192"/>
      <c r="D173" s="192"/>
      <c r="E173" s="192"/>
      <c r="G173" s="193" t="s">
        <v>96</v>
      </c>
      <c r="H173" s="194"/>
      <c r="I173" s="145"/>
      <c r="J173" s="156"/>
      <c r="K173" s="156"/>
    </row>
    <row r="174" spans="1:11" x14ac:dyDescent="0.35">
      <c r="A174" s="191" t="s">
        <v>97</v>
      </c>
      <c r="B174" s="191"/>
      <c r="C174" s="195"/>
      <c r="D174" s="194"/>
      <c r="E174" s="194"/>
      <c r="G174" s="193" t="s">
        <v>98</v>
      </c>
      <c r="H174" s="194"/>
      <c r="I174" s="145"/>
      <c r="J174" s="156"/>
      <c r="K174" s="156"/>
    </row>
    <row r="175" spans="1:11" x14ac:dyDescent="0.35">
      <c r="A175" s="191" t="s">
        <v>98</v>
      </c>
      <c r="B175" s="191"/>
      <c r="C175" s="145"/>
      <c r="D175" s="156"/>
      <c r="E175" s="156"/>
      <c r="G175" s="193" t="s">
        <v>99</v>
      </c>
      <c r="H175" s="194"/>
      <c r="I175" s="145"/>
      <c r="J175" s="156"/>
      <c r="K175" s="156"/>
    </row>
    <row r="176" spans="1:11" x14ac:dyDescent="0.35">
      <c r="A176" s="191" t="s">
        <v>99</v>
      </c>
      <c r="B176" s="191"/>
      <c r="C176" s="145"/>
      <c r="D176" s="156"/>
      <c r="E176" s="156"/>
      <c r="G176" s="193" t="s">
        <v>100</v>
      </c>
      <c r="H176" s="194"/>
      <c r="I176" s="145"/>
      <c r="J176" s="156"/>
      <c r="K176" s="156"/>
    </row>
    <row r="177" spans="1:11" x14ac:dyDescent="0.35">
      <c r="A177" s="191" t="s">
        <v>100</v>
      </c>
      <c r="B177" s="191"/>
      <c r="C177" s="145"/>
      <c r="D177" s="156"/>
      <c r="E177" s="156"/>
      <c r="G177" s="193" t="s">
        <v>101</v>
      </c>
      <c r="H177" s="194"/>
      <c r="I177" s="145"/>
      <c r="J177" s="156"/>
      <c r="K177" s="156"/>
    </row>
    <row r="178" spans="1:11" x14ac:dyDescent="0.35">
      <c r="A178" s="191" t="s">
        <v>101</v>
      </c>
      <c r="B178" s="191"/>
      <c r="C178" s="145"/>
      <c r="D178" s="156"/>
      <c r="E178" s="156"/>
      <c r="G178" s="193" t="s">
        <v>102</v>
      </c>
      <c r="H178" s="194"/>
      <c r="I178" s="145"/>
      <c r="J178" s="156"/>
      <c r="K178" s="156"/>
    </row>
    <row r="179" spans="1:11" x14ac:dyDescent="0.35">
      <c r="A179" s="191" t="s">
        <v>102</v>
      </c>
      <c r="B179" s="191"/>
      <c r="C179" s="145"/>
      <c r="D179" s="156"/>
      <c r="E179" s="156"/>
      <c r="G179" s="193" t="s">
        <v>103</v>
      </c>
      <c r="H179" s="194"/>
      <c r="I179" s="145"/>
      <c r="J179" s="156"/>
      <c r="K179" s="156"/>
    </row>
    <row r="180" spans="1:11" x14ac:dyDescent="0.35">
      <c r="A180" s="191" t="s">
        <v>104</v>
      </c>
      <c r="B180" s="191"/>
      <c r="C180" s="145"/>
      <c r="D180" s="156"/>
      <c r="E180" s="156"/>
    </row>
    <row r="181" spans="1:11" x14ac:dyDescent="0.35">
      <c r="A181" s="111"/>
      <c r="B181" s="111"/>
      <c r="C181" s="111"/>
      <c r="D181" s="111"/>
      <c r="E181" s="111"/>
      <c r="G181" s="11"/>
      <c r="H181" s="11"/>
      <c r="I181" s="11"/>
      <c r="J181" s="11"/>
    </row>
    <row r="182" spans="1:11" x14ac:dyDescent="0.35">
      <c r="A182" s="11"/>
      <c r="B182" s="11"/>
      <c r="C182" s="11"/>
      <c r="D182" s="11"/>
      <c r="E182" s="11"/>
      <c r="G182" s="189" t="s">
        <v>64</v>
      </c>
      <c r="H182" s="189"/>
      <c r="I182" s="189"/>
      <c r="J182" s="189"/>
      <c r="K182" s="189"/>
    </row>
    <row r="183" spans="1:11" x14ac:dyDescent="0.35">
      <c r="A183" s="11"/>
      <c r="B183" s="11"/>
      <c r="C183" s="11"/>
      <c r="D183" s="11"/>
      <c r="E183" s="11"/>
      <c r="G183" s="43"/>
      <c r="H183" s="43" t="s">
        <v>93</v>
      </c>
      <c r="I183" s="43" t="s">
        <v>94</v>
      </c>
      <c r="J183" s="43" t="s">
        <v>34</v>
      </c>
      <c r="K183" s="43" t="s">
        <v>92</v>
      </c>
    </row>
    <row r="184" spans="1:11" x14ac:dyDescent="0.35">
      <c r="A184" s="11"/>
      <c r="B184" s="11"/>
      <c r="C184" s="11"/>
      <c r="D184" s="11"/>
      <c r="E184" s="11"/>
      <c r="G184" s="193" t="s">
        <v>96</v>
      </c>
      <c r="H184" s="194"/>
      <c r="I184" s="145"/>
      <c r="J184" s="156"/>
      <c r="K184" s="156"/>
    </row>
    <row r="185" spans="1:11" x14ac:dyDescent="0.35">
      <c r="A185" s="11"/>
      <c r="B185" s="11"/>
      <c r="C185" s="11"/>
      <c r="D185" s="11"/>
      <c r="E185" s="11"/>
      <c r="G185" s="193" t="s">
        <v>98</v>
      </c>
      <c r="H185" s="194"/>
      <c r="I185" s="145"/>
      <c r="J185" s="156"/>
      <c r="K185" s="156"/>
    </row>
    <row r="186" spans="1:11" x14ac:dyDescent="0.35">
      <c r="A186" s="11"/>
      <c r="B186" s="11"/>
      <c r="C186" s="11"/>
      <c r="D186" s="11"/>
      <c r="E186" s="11"/>
      <c r="G186" s="193" t="s">
        <v>99</v>
      </c>
      <c r="H186" s="194"/>
      <c r="I186" s="145"/>
      <c r="J186" s="156"/>
      <c r="K186" s="156"/>
    </row>
    <row r="187" spans="1:11" x14ac:dyDescent="0.35">
      <c r="A187" s="11"/>
      <c r="B187" s="11"/>
      <c r="C187" s="11"/>
      <c r="D187" s="11"/>
      <c r="E187" s="11"/>
      <c r="G187" s="193" t="s">
        <v>100</v>
      </c>
      <c r="H187" s="194"/>
      <c r="I187" s="145"/>
      <c r="J187" s="156"/>
      <c r="K187" s="156"/>
    </row>
    <row r="188" spans="1:11" x14ac:dyDescent="0.35">
      <c r="A188" s="11"/>
      <c r="B188" s="11"/>
      <c r="C188" s="11"/>
      <c r="D188" s="11"/>
      <c r="E188" s="11"/>
      <c r="G188" s="193" t="s">
        <v>101</v>
      </c>
      <c r="H188" s="194"/>
      <c r="I188" s="145"/>
      <c r="J188" s="156"/>
      <c r="K188" s="156"/>
    </row>
    <row r="189" spans="1:11" x14ac:dyDescent="0.35">
      <c r="A189" s="11"/>
      <c r="B189" s="11"/>
      <c r="C189" s="11"/>
      <c r="D189" s="11"/>
      <c r="E189" s="11"/>
      <c r="G189" s="193" t="s">
        <v>102</v>
      </c>
      <c r="H189" s="194"/>
      <c r="I189" s="145"/>
      <c r="J189" s="156"/>
      <c r="K189" s="156"/>
    </row>
    <row r="190" spans="1:11" x14ac:dyDescent="0.35">
      <c r="A190" s="11"/>
      <c r="B190" s="11"/>
      <c r="C190" s="11"/>
      <c r="D190" s="11"/>
      <c r="E190" s="11"/>
      <c r="G190" s="193" t="s">
        <v>103</v>
      </c>
      <c r="H190" s="145"/>
      <c r="I190" s="145"/>
      <c r="J190" s="145"/>
      <c r="K190" s="156"/>
    </row>
    <row r="191" spans="1:11" x14ac:dyDescent="0.35">
      <c r="A191" s="11"/>
      <c r="B191" s="11"/>
      <c r="C191" s="11"/>
      <c r="D191" s="11"/>
      <c r="E191" s="11"/>
    </row>
    <row r="192" spans="1:11" x14ac:dyDescent="0.35">
      <c r="A192" s="11"/>
      <c r="B192" s="11"/>
      <c r="C192" s="11"/>
      <c r="D192" s="11"/>
      <c r="E192" s="11"/>
      <c r="G192" s="189" t="s">
        <v>92</v>
      </c>
      <c r="H192" s="189"/>
      <c r="I192" s="189"/>
      <c r="J192" s="189"/>
      <c r="K192" s="189"/>
    </row>
    <row r="193" spans="1:11" x14ac:dyDescent="0.35">
      <c r="A193" s="11"/>
      <c r="B193" s="11"/>
      <c r="C193" s="11"/>
      <c r="D193" s="11"/>
      <c r="E193" s="11"/>
      <c r="G193" s="43"/>
      <c r="H193" s="43" t="s">
        <v>93</v>
      </c>
      <c r="I193" s="43" t="s">
        <v>94</v>
      </c>
      <c r="J193" s="43" t="s">
        <v>34</v>
      </c>
      <c r="K193" s="43" t="s">
        <v>92</v>
      </c>
    </row>
    <row r="194" spans="1:11" x14ac:dyDescent="0.35">
      <c r="A194" s="11"/>
      <c r="B194" s="11"/>
      <c r="C194" s="11"/>
      <c r="D194" s="11"/>
      <c r="E194" s="11"/>
      <c r="G194" s="193" t="s">
        <v>96</v>
      </c>
      <c r="H194" s="194"/>
      <c r="I194" s="145"/>
      <c r="J194" s="156"/>
      <c r="K194" s="156"/>
    </row>
    <row r="195" spans="1:11" x14ac:dyDescent="0.35">
      <c r="A195" s="11"/>
      <c r="B195" s="11"/>
      <c r="C195" s="11"/>
      <c r="D195" s="11"/>
      <c r="E195" s="11"/>
      <c r="G195" s="193" t="s">
        <v>98</v>
      </c>
      <c r="H195" s="194"/>
      <c r="I195" s="145"/>
      <c r="J195" s="156"/>
      <c r="K195" s="156"/>
    </row>
    <row r="196" spans="1:11" x14ac:dyDescent="0.35">
      <c r="A196" s="11"/>
      <c r="B196" s="11"/>
      <c r="C196" s="11"/>
      <c r="D196" s="11"/>
      <c r="E196" s="11"/>
      <c r="G196" s="193" t="s">
        <v>99</v>
      </c>
      <c r="H196" s="194"/>
      <c r="I196" s="145"/>
      <c r="J196" s="156"/>
      <c r="K196" s="156"/>
    </row>
    <row r="197" spans="1:11" x14ac:dyDescent="0.35">
      <c r="A197" s="11"/>
      <c r="B197" s="11"/>
      <c r="C197" s="11"/>
      <c r="D197" s="11"/>
      <c r="E197" s="11"/>
      <c r="G197" s="193" t="s">
        <v>100</v>
      </c>
      <c r="H197" s="194"/>
      <c r="I197" s="145"/>
      <c r="J197" s="156"/>
      <c r="K197" s="156"/>
    </row>
    <row r="198" spans="1:11" x14ac:dyDescent="0.35">
      <c r="A198" s="11"/>
      <c r="B198" s="11"/>
      <c r="C198" s="11"/>
      <c r="D198" s="11"/>
      <c r="E198" s="11"/>
      <c r="G198" s="193" t="s">
        <v>101</v>
      </c>
      <c r="H198" s="194"/>
      <c r="I198" s="145"/>
      <c r="J198" s="156"/>
      <c r="K198" s="156"/>
    </row>
    <row r="199" spans="1:11" x14ac:dyDescent="0.35">
      <c r="A199" s="11"/>
      <c r="B199" s="11"/>
      <c r="C199" s="11"/>
      <c r="D199" s="11"/>
      <c r="E199" s="11"/>
      <c r="G199" s="193" t="s">
        <v>102</v>
      </c>
      <c r="H199" s="194"/>
      <c r="I199" s="145"/>
      <c r="J199" s="156"/>
      <c r="K199" s="156"/>
    </row>
    <row r="200" spans="1:11" x14ac:dyDescent="0.35">
      <c r="A200" s="11"/>
      <c r="G200" s="193" t="s">
        <v>103</v>
      </c>
      <c r="H200" s="145"/>
      <c r="I200" s="145"/>
      <c r="J200" s="145"/>
      <c r="K200" s="156"/>
    </row>
    <row r="201" spans="1:11" x14ac:dyDescent="0.35">
      <c r="A201" s="11"/>
      <c r="G201" s="11"/>
      <c r="H201" s="11"/>
      <c r="I201" s="11"/>
      <c r="J201" s="11"/>
      <c r="K201" s="196"/>
    </row>
    <row r="202" spans="1:11" ht="15.75" customHeight="1" thickBot="1" x14ac:dyDescent="0.4">
      <c r="K202" s="181"/>
    </row>
    <row r="203" spans="1:11" ht="33.75" customHeight="1" thickBot="1" x14ac:dyDescent="0.4">
      <c r="A203" s="197" t="s">
        <v>105</v>
      </c>
      <c r="B203" s="198"/>
      <c r="C203" s="198"/>
      <c r="D203" s="198"/>
      <c r="E203" s="198"/>
      <c r="F203" s="198"/>
      <c r="G203" s="198"/>
      <c r="H203" s="198"/>
      <c r="I203" s="198"/>
      <c r="J203" s="198"/>
      <c r="K203" s="199"/>
    </row>
    <row r="204" spans="1:11" ht="15.75" customHeight="1" x14ac:dyDescent="0.35">
      <c r="K204" s="181"/>
    </row>
    <row r="205" spans="1:11" ht="15.75" customHeight="1" x14ac:dyDescent="0.35">
      <c r="A205" s="44" t="s">
        <v>74</v>
      </c>
      <c r="B205" s="44"/>
      <c r="C205" s="145"/>
      <c r="G205" s="44" t="s">
        <v>75</v>
      </c>
      <c r="H205" s="44"/>
      <c r="I205" s="184"/>
      <c r="J205" s="184"/>
      <c r="K205" s="184"/>
    </row>
    <row r="206" spans="1:11" ht="15.75" customHeight="1" x14ac:dyDescent="0.35">
      <c r="K206" s="181"/>
    </row>
    <row r="207" spans="1:11" ht="16" thickBot="1" x14ac:dyDescent="0.4">
      <c r="A207" s="11"/>
      <c r="G207" s="11"/>
      <c r="H207" s="11"/>
      <c r="I207" s="11"/>
      <c r="J207" s="11"/>
      <c r="K207" s="196"/>
    </row>
    <row r="208" spans="1:11" ht="31.5" customHeight="1" thickBot="1" x14ac:dyDescent="0.4">
      <c r="A208" s="200" t="s">
        <v>106</v>
      </c>
      <c r="B208" s="201"/>
      <c r="C208" s="201"/>
      <c r="D208" s="201"/>
      <c r="E208" s="201"/>
      <c r="F208" s="201"/>
      <c r="G208" s="201"/>
      <c r="H208" s="201"/>
      <c r="I208" s="201"/>
      <c r="J208" s="201"/>
      <c r="K208" s="202"/>
    </row>
    <row r="209" spans="1:11" x14ac:dyDescent="0.35">
      <c r="A209" s="203"/>
      <c r="B209" s="204"/>
      <c r="C209" s="204"/>
      <c r="D209" s="204"/>
      <c r="E209" s="204"/>
      <c r="F209" s="204"/>
    </row>
    <row r="210" spans="1:11" x14ac:dyDescent="0.35">
      <c r="A210" s="187" t="s">
        <v>88</v>
      </c>
      <c r="B210" s="187"/>
      <c r="C210" s="187"/>
      <c r="D210" s="187"/>
      <c r="E210" s="187"/>
      <c r="G210" s="205" t="s">
        <v>89</v>
      </c>
      <c r="H210" s="205"/>
      <c r="I210" s="205"/>
      <c r="J210" s="205"/>
    </row>
    <row r="211" spans="1:11" x14ac:dyDescent="0.35">
      <c r="A211" s="189"/>
      <c r="B211" s="189"/>
      <c r="C211" s="189"/>
      <c r="D211" s="189"/>
      <c r="E211" s="189"/>
      <c r="F211" s="11"/>
      <c r="G211" s="206"/>
      <c r="H211" s="207"/>
      <c r="I211" s="207"/>
      <c r="J211" s="208"/>
    </row>
    <row r="212" spans="1:11" x14ac:dyDescent="0.35">
      <c r="A212" s="44"/>
      <c r="B212" s="44"/>
      <c r="C212" s="43" t="s">
        <v>90</v>
      </c>
      <c r="D212" s="43" t="s">
        <v>91</v>
      </c>
      <c r="E212" s="43" t="s">
        <v>92</v>
      </c>
      <c r="F212" s="11"/>
      <c r="G212" s="43"/>
      <c r="H212" s="43" t="s">
        <v>90</v>
      </c>
      <c r="I212" s="43" t="s">
        <v>91</v>
      </c>
      <c r="J212" s="43" t="s">
        <v>92</v>
      </c>
    </row>
    <row r="213" spans="1:11" x14ac:dyDescent="0.35">
      <c r="A213" s="191" t="s">
        <v>95</v>
      </c>
      <c r="B213" s="191"/>
      <c r="C213" s="192"/>
      <c r="D213" s="192"/>
      <c r="E213" s="192"/>
      <c r="F213" s="11"/>
      <c r="G213" s="193" t="s">
        <v>96</v>
      </c>
      <c r="H213" s="194"/>
      <c r="I213" s="145"/>
      <c r="J213" s="156"/>
    </row>
    <row r="214" spans="1:11" x14ac:dyDescent="0.35">
      <c r="A214" s="191" t="s">
        <v>107</v>
      </c>
      <c r="B214" s="191"/>
      <c r="C214" s="195"/>
      <c r="D214" s="194"/>
      <c r="E214" s="194"/>
      <c r="F214" s="11"/>
      <c r="G214" s="193" t="s">
        <v>98</v>
      </c>
      <c r="H214" s="194"/>
      <c r="I214" s="145"/>
      <c r="J214" s="156"/>
    </row>
    <row r="215" spans="1:11" x14ac:dyDescent="0.35">
      <c r="A215" s="191" t="s">
        <v>98</v>
      </c>
      <c r="B215" s="191"/>
      <c r="C215" s="145"/>
      <c r="D215" s="156"/>
      <c r="E215" s="156"/>
      <c r="F215" s="11"/>
      <c r="G215" s="193" t="s">
        <v>100</v>
      </c>
      <c r="H215" s="194"/>
      <c r="I215" s="145"/>
      <c r="J215" s="156"/>
    </row>
    <row r="216" spans="1:11" x14ac:dyDescent="0.35">
      <c r="A216" s="191" t="s">
        <v>99</v>
      </c>
      <c r="B216" s="191"/>
      <c r="C216" s="145"/>
      <c r="D216" s="156"/>
      <c r="E216" s="156"/>
      <c r="F216" s="11"/>
      <c r="G216" s="193" t="s">
        <v>101</v>
      </c>
      <c r="H216" s="194"/>
      <c r="I216" s="145"/>
      <c r="J216" s="156"/>
    </row>
    <row r="217" spans="1:11" x14ac:dyDescent="0.35">
      <c r="A217" s="191" t="s">
        <v>100</v>
      </c>
      <c r="B217" s="191"/>
      <c r="C217" s="145"/>
      <c r="D217" s="156"/>
      <c r="E217" s="156"/>
      <c r="F217" s="11"/>
      <c r="G217" s="193" t="s">
        <v>102</v>
      </c>
      <c r="H217" s="194"/>
      <c r="I217" s="145"/>
      <c r="J217" s="156"/>
    </row>
    <row r="218" spans="1:11" x14ac:dyDescent="0.35">
      <c r="A218" s="191" t="s">
        <v>101</v>
      </c>
      <c r="B218" s="191"/>
      <c r="C218" s="145"/>
      <c r="D218" s="156"/>
      <c r="E218" s="156"/>
      <c r="F218" s="11"/>
      <c r="G218" s="193" t="s">
        <v>103</v>
      </c>
      <c r="H218" s="194"/>
      <c r="I218" s="145"/>
      <c r="J218" s="156"/>
    </row>
    <row r="219" spans="1:11" x14ac:dyDescent="0.35">
      <c r="A219" s="191" t="s">
        <v>102</v>
      </c>
      <c r="B219" s="191"/>
      <c r="C219" s="145"/>
      <c r="D219" s="156"/>
      <c r="E219" s="156"/>
      <c r="F219" s="11"/>
    </row>
    <row r="220" spans="1:11" x14ac:dyDescent="0.35">
      <c r="A220" s="191" t="s">
        <v>104</v>
      </c>
      <c r="B220" s="191"/>
      <c r="C220" s="145"/>
      <c r="D220" s="156"/>
      <c r="E220" s="156"/>
      <c r="F220" s="11"/>
      <c r="G220" s="11"/>
      <c r="H220" s="11"/>
      <c r="I220" s="11"/>
      <c r="J220" s="11"/>
    </row>
    <row r="221" spans="1:11" x14ac:dyDescent="0.35">
      <c r="A221" s="191" t="s">
        <v>108</v>
      </c>
      <c r="B221" s="191"/>
      <c r="C221" s="156"/>
      <c r="D221" s="156"/>
      <c r="E221" s="156"/>
      <c r="F221" s="11"/>
    </row>
    <row r="222" spans="1:11" x14ac:dyDescent="0.35">
      <c r="A222" s="11"/>
      <c r="B222" s="11"/>
      <c r="C222" s="11"/>
      <c r="D222" s="11"/>
      <c r="E222" s="11"/>
      <c r="F222" s="11"/>
    </row>
    <row r="223" spans="1:11" ht="16" thickBot="1" x14ac:dyDescent="0.4">
      <c r="A223" s="11"/>
      <c r="B223" s="11"/>
      <c r="C223" s="11"/>
      <c r="D223" s="11"/>
      <c r="E223" s="11"/>
      <c r="F223" s="11"/>
      <c r="G223" s="11"/>
      <c r="H223" s="11"/>
      <c r="I223" s="11"/>
      <c r="J223" s="11"/>
    </row>
    <row r="224" spans="1:11" ht="31.5" customHeight="1" x14ac:dyDescent="0.35">
      <c r="A224" s="200" t="s">
        <v>109</v>
      </c>
      <c r="B224" s="201"/>
      <c r="C224" s="201"/>
      <c r="D224" s="201"/>
      <c r="E224" s="201"/>
      <c r="F224" s="201"/>
      <c r="G224" s="201"/>
      <c r="H224" s="201"/>
      <c r="I224" s="201"/>
      <c r="J224" s="201"/>
      <c r="K224" s="202"/>
    </row>
    <row r="225" spans="1:10" x14ac:dyDescent="0.35">
      <c r="A225" s="11"/>
      <c r="B225" s="11"/>
      <c r="C225" s="11"/>
      <c r="D225" s="11"/>
      <c r="E225" s="11"/>
      <c r="F225" s="11"/>
      <c r="G225" s="11"/>
      <c r="H225" s="11"/>
      <c r="I225" s="11"/>
      <c r="J225" s="11"/>
    </row>
    <row r="226" spans="1:10" x14ac:dyDescent="0.35">
      <c r="A226" s="11"/>
      <c r="B226" s="11"/>
      <c r="C226" s="11"/>
      <c r="D226" s="11"/>
      <c r="E226" s="11"/>
      <c r="F226" s="11"/>
      <c r="G226" s="11"/>
      <c r="H226" s="11"/>
      <c r="I226" s="11"/>
      <c r="J226" s="11"/>
    </row>
    <row r="227" spans="1:10" x14ac:dyDescent="0.35">
      <c r="A227" s="187" t="s">
        <v>89</v>
      </c>
      <c r="B227" s="187"/>
      <c r="C227" s="187"/>
      <c r="D227" s="11"/>
      <c r="E227" s="11"/>
      <c r="F227" s="11"/>
      <c r="G227" s="11"/>
      <c r="H227" s="11"/>
      <c r="I227" s="11"/>
      <c r="J227" s="11"/>
    </row>
    <row r="228" spans="1:10" x14ac:dyDescent="0.35">
      <c r="A228" s="189"/>
      <c r="B228" s="189"/>
      <c r="C228" s="189"/>
      <c r="D228" s="11"/>
      <c r="E228" s="11"/>
      <c r="F228" s="11"/>
      <c r="G228" s="11"/>
      <c r="H228" s="11"/>
      <c r="I228" s="11"/>
      <c r="J228" s="11"/>
    </row>
    <row r="229" spans="1:10" x14ac:dyDescent="0.35">
      <c r="A229" s="209"/>
      <c r="B229" s="209"/>
      <c r="C229" s="43" t="s">
        <v>92</v>
      </c>
      <c r="D229" s="11"/>
      <c r="E229" s="11"/>
      <c r="F229" s="11"/>
      <c r="G229" s="11"/>
      <c r="H229" s="11"/>
      <c r="I229" s="11"/>
      <c r="J229" s="11"/>
    </row>
    <row r="230" spans="1:10" x14ac:dyDescent="0.35">
      <c r="A230" s="210" t="s">
        <v>96</v>
      </c>
      <c r="B230" s="210"/>
      <c r="C230" s="211"/>
      <c r="D230" s="11"/>
      <c r="E230" s="11"/>
      <c r="F230" s="11"/>
      <c r="G230" s="11"/>
      <c r="H230" s="11"/>
      <c r="I230" s="11"/>
      <c r="J230" s="11"/>
    </row>
    <row r="231" spans="1:10" ht="24" customHeight="1" x14ac:dyDescent="0.35">
      <c r="A231" s="210" t="s">
        <v>101</v>
      </c>
      <c r="B231" s="210"/>
      <c r="C231" s="211"/>
      <c r="D231" s="11"/>
      <c r="E231" s="11"/>
      <c r="F231" s="11"/>
      <c r="G231" s="11"/>
      <c r="H231" s="11"/>
      <c r="I231" s="11"/>
      <c r="J231" s="11"/>
    </row>
    <row r="232" spans="1:10" x14ac:dyDescent="0.35">
      <c r="A232" s="210" t="s">
        <v>102</v>
      </c>
      <c r="B232" s="210"/>
      <c r="C232" s="211"/>
      <c r="D232" s="11"/>
    </row>
    <row r="233" spans="1:10" x14ac:dyDescent="0.35">
      <c r="A233" s="210" t="s">
        <v>103</v>
      </c>
      <c r="B233" s="210"/>
      <c r="C233" s="211"/>
      <c r="D233" s="11"/>
    </row>
  </sheetData>
  <mergeCells count="151">
    <mergeCell ref="A229:B229"/>
    <mergeCell ref="A230:B230"/>
    <mergeCell ref="A231:B231"/>
    <mergeCell ref="A232:B232"/>
    <mergeCell ref="A233:B233"/>
    <mergeCell ref="A219:B219"/>
    <mergeCell ref="A220:B220"/>
    <mergeCell ref="A221:B221"/>
    <mergeCell ref="A224:K224"/>
    <mergeCell ref="A227:C227"/>
    <mergeCell ref="A228:C228"/>
    <mergeCell ref="A213:B213"/>
    <mergeCell ref="A214:B214"/>
    <mergeCell ref="A215:B215"/>
    <mergeCell ref="A216:B216"/>
    <mergeCell ref="A217:B217"/>
    <mergeCell ref="A218:B218"/>
    <mergeCell ref="A208:K208"/>
    <mergeCell ref="A210:E210"/>
    <mergeCell ref="G210:J210"/>
    <mergeCell ref="A211:E211"/>
    <mergeCell ref="G211:J211"/>
    <mergeCell ref="A212:B212"/>
    <mergeCell ref="G182:K182"/>
    <mergeCell ref="G192:K192"/>
    <mergeCell ref="A203:K203"/>
    <mergeCell ref="A205:B205"/>
    <mergeCell ref="G205:H205"/>
    <mergeCell ref="I205:K205"/>
    <mergeCell ref="A176:B176"/>
    <mergeCell ref="A177:B177"/>
    <mergeCell ref="A178:B178"/>
    <mergeCell ref="A179:B179"/>
    <mergeCell ref="A180:B180"/>
    <mergeCell ref="A181:E181"/>
    <mergeCell ref="A171:E171"/>
    <mergeCell ref="G171:K171"/>
    <mergeCell ref="A172:B172"/>
    <mergeCell ref="A173:B173"/>
    <mergeCell ref="A174:B174"/>
    <mergeCell ref="A175:B175"/>
    <mergeCell ref="A160:B160"/>
    <mergeCell ref="A161:B161"/>
    <mergeCell ref="A167:K167"/>
    <mergeCell ref="A168:K169"/>
    <mergeCell ref="A170:E170"/>
    <mergeCell ref="G170:K170"/>
    <mergeCell ref="A154:B154"/>
    <mergeCell ref="H154:I154"/>
    <mergeCell ref="A156:B156"/>
    <mergeCell ref="G156:H156"/>
    <mergeCell ref="I156:K156"/>
    <mergeCell ref="A159:B159"/>
    <mergeCell ref="A110:K110"/>
    <mergeCell ref="A111:K111"/>
    <mergeCell ref="A129:K129"/>
    <mergeCell ref="A130:K130"/>
    <mergeCell ref="A151:K151"/>
    <mergeCell ref="A152:K152"/>
    <mergeCell ref="A74:K74"/>
    <mergeCell ref="A107:K107"/>
    <mergeCell ref="A108:K108"/>
    <mergeCell ref="A109:C109"/>
    <mergeCell ref="D109:E109"/>
    <mergeCell ref="F109:I109"/>
    <mergeCell ref="J109:K109"/>
    <mergeCell ref="A41:K41"/>
    <mergeCell ref="A42:K42"/>
    <mergeCell ref="A71:K71"/>
    <mergeCell ref="A72:K72"/>
    <mergeCell ref="A73:C73"/>
    <mergeCell ref="D73:E73"/>
    <mergeCell ref="A39:C39"/>
    <mergeCell ref="D39:E39"/>
    <mergeCell ref="F39:I39"/>
    <mergeCell ref="J39:K39"/>
    <mergeCell ref="A40:C40"/>
    <mergeCell ref="D40:E40"/>
    <mergeCell ref="A35:K36"/>
    <mergeCell ref="A37:K37"/>
    <mergeCell ref="A38:C38"/>
    <mergeCell ref="D38:E38"/>
    <mergeCell ref="F38:I38"/>
    <mergeCell ref="J38:K38"/>
    <mergeCell ref="A32:B32"/>
    <mergeCell ref="C32:D32"/>
    <mergeCell ref="E32:F32"/>
    <mergeCell ref="G32:H32"/>
    <mergeCell ref="A34:B34"/>
    <mergeCell ref="C34:D34"/>
    <mergeCell ref="E34:F34"/>
    <mergeCell ref="G34:H34"/>
    <mergeCell ref="A29:K29"/>
    <mergeCell ref="A30:B30"/>
    <mergeCell ref="C30:D30"/>
    <mergeCell ref="E30:F30"/>
    <mergeCell ref="G30:H30"/>
    <mergeCell ref="I30:K34"/>
    <mergeCell ref="A31:B31"/>
    <mergeCell ref="C31:D31"/>
    <mergeCell ref="E31:F31"/>
    <mergeCell ref="G31:H31"/>
    <mergeCell ref="A27:B27"/>
    <mergeCell ref="D27:E27"/>
    <mergeCell ref="F27:F28"/>
    <mergeCell ref="G27:H27"/>
    <mergeCell ref="J27:K27"/>
    <mergeCell ref="A28:B28"/>
    <mergeCell ref="D28:E28"/>
    <mergeCell ref="G28:H28"/>
    <mergeCell ref="J28:K28"/>
    <mergeCell ref="A13:K13"/>
    <mergeCell ref="A14:E14"/>
    <mergeCell ref="F14:F24"/>
    <mergeCell ref="G14:K14"/>
    <mergeCell ref="A25:K25"/>
    <mergeCell ref="A26:K26"/>
    <mergeCell ref="G11:H11"/>
    <mergeCell ref="J11:K11"/>
    <mergeCell ref="A12:B12"/>
    <mergeCell ref="D12:E12"/>
    <mergeCell ref="G12:H12"/>
    <mergeCell ref="J12:K12"/>
    <mergeCell ref="A8:K8"/>
    <mergeCell ref="A9:E9"/>
    <mergeCell ref="F9:F12"/>
    <mergeCell ref="G9:K9"/>
    <mergeCell ref="A10:B10"/>
    <mergeCell ref="D10:E10"/>
    <mergeCell ref="G10:H10"/>
    <mergeCell ref="J10:K10"/>
    <mergeCell ref="A11:B11"/>
    <mergeCell ref="D11:E11"/>
    <mergeCell ref="A3:K4"/>
    <mergeCell ref="A5:K5"/>
    <mergeCell ref="A6:K6"/>
    <mergeCell ref="A7:B7"/>
    <mergeCell ref="D7:E7"/>
    <mergeCell ref="F7:G7"/>
    <mergeCell ref="H7:I7"/>
    <mergeCell ref="J7:K7"/>
    <mergeCell ref="A1:B1"/>
    <mergeCell ref="C1:D1"/>
    <mergeCell ref="E1:F1"/>
    <mergeCell ref="H1:I1"/>
    <mergeCell ref="J1:K1"/>
    <mergeCell ref="A2:B2"/>
    <mergeCell ref="C2:D2"/>
    <mergeCell ref="E2:F2"/>
    <mergeCell ref="H2:I2"/>
    <mergeCell ref="J2:K2"/>
  </mergeCells>
  <conditionalFormatting sqref="F44:F70">
    <cfRule type="expression" dxfId="21" priority="2">
      <formula>AND(E44="SI",F44="SI")</formula>
    </cfRule>
  </conditionalFormatting>
  <conditionalFormatting sqref="G44:G70">
    <cfRule type="expression" dxfId="20" priority="1">
      <formula>AND(E44="SI",G44="SI")</formula>
    </cfRule>
  </conditionalFormatting>
  <conditionalFormatting sqref="E62 E64 E66 E68 E70 E44">
    <cfRule type="expression" dxfId="19" priority="3">
      <formula>_xlfn.XOR(E44="-",OR(B44=#REF!,B44=#REF!,B44=#REF!,B44=#REF!,B44=#REF!,B44=#REF!,B44=#REF!,B44=#REF!,B44=#REF!,B44=#REF!))</formula>
    </cfRule>
  </conditionalFormatting>
  <conditionalFormatting sqref="F44:F70">
    <cfRule type="expression" dxfId="18" priority="4">
      <formula>AND(F44&lt;&gt;"-",OR(B44=#REF!,B44=#REF!,B44=#REF!,B44=#REF!,B44=#REF!,B44=#REF!,B44=#REF!,B44=#REF!,B44=#REF!))</formula>
    </cfRule>
  </conditionalFormatting>
  <conditionalFormatting sqref="G44:G70">
    <cfRule type="expression" dxfId="17" priority="5">
      <formula>AND(G44&lt;&gt;"-",OR(B44=#REF!,B44=#REF!,B44=#REF!,B44=#REF!,B44=#REF!,B44=#REF!,B44=#REF!,B44=#REF!,B44=#REF!))</formula>
    </cfRule>
  </conditionalFormatting>
  <conditionalFormatting sqref="E63 E65 E67 E69 E45">
    <cfRule type="expression" dxfId="16" priority="6">
      <formula>_xlfn.XOR(E45="-",OR(B45=#REF!,B45=#REF!,B45=#REF!,B45=#REF!,B45=#REF!,B45=#REF!,B45=#REF!,B45=#REF!,B45=#REF!,B45=#REF!))</formula>
    </cfRule>
  </conditionalFormatting>
  <conditionalFormatting sqref="E54">
    <cfRule type="expression" dxfId="15" priority="7">
      <formula>_xlfn.XOR(E54="-",OR(B54=#REF!,B54=#REF!,B54=#REF!,B54=#REF!,B54=#REF!,B54=#REF!,B54=#REF!,B54=#REF!,B54=#REF!,B54=#REF!))</formula>
    </cfRule>
  </conditionalFormatting>
  <conditionalFormatting sqref="E56">
    <cfRule type="expression" dxfId="14" priority="8">
      <formula>_xlfn.XOR(E56="-",OR(B56=#REF!,B56=#REF!,B56=#REF!,B56=#REF!,B56=#REF!,B56=#REF!,B56=#REF!,B56=#REF!,B56=#REF!,B56=#REF!))</formula>
    </cfRule>
  </conditionalFormatting>
  <conditionalFormatting sqref="E58">
    <cfRule type="expression" dxfId="13" priority="9">
      <formula>_xlfn.XOR(E58="-",OR(B58=#REF!,B58=#REF!,B58=#REF!,B58=#REF!,B58=#REF!,B58=#REF!,B58=#REF!,B58=#REF!,B58=#REF!,B58=#REF!))</formula>
    </cfRule>
  </conditionalFormatting>
  <conditionalFormatting sqref="E60">
    <cfRule type="expression" dxfId="12" priority="10">
      <formula>_xlfn.XOR(E60="-",OR(B60=#REF!,B60=#REF!,B60=#REF!,B60=#REF!,B60=#REF!,B60=#REF!,B60=#REF!,B60=#REF!,B60=#REF!,B60=#REF!))</formula>
    </cfRule>
  </conditionalFormatting>
  <conditionalFormatting sqref="E55">
    <cfRule type="expression" dxfId="11" priority="11">
      <formula>_xlfn.XOR(E55="-",OR(B55=#REF!,B55=#REF!,B55=#REF!,B55=#REF!,B55=#REF!,B55=#REF!,B55=#REF!,B55=#REF!,B55=#REF!,B55=#REF!))</formula>
    </cfRule>
  </conditionalFormatting>
  <conditionalFormatting sqref="E57">
    <cfRule type="expression" dxfId="10" priority="12">
      <formula>_xlfn.XOR(E57="-",OR(B57=#REF!,B57=#REF!,B57=#REF!,B57=#REF!,B57=#REF!,B57=#REF!,B57=#REF!,B57=#REF!,B57=#REF!,B57=#REF!))</formula>
    </cfRule>
  </conditionalFormatting>
  <conditionalFormatting sqref="E59">
    <cfRule type="expression" dxfId="9" priority="13">
      <formula>_xlfn.XOR(E59="-",OR(B59=#REF!,B59=#REF!,B59=#REF!,B59=#REF!,B59=#REF!,B59=#REF!,B59=#REF!,B59=#REF!,B59=#REF!,B59=#REF!))</formula>
    </cfRule>
  </conditionalFormatting>
  <conditionalFormatting sqref="E61">
    <cfRule type="expression" dxfId="8" priority="14">
      <formula>_xlfn.XOR(E61="-",OR(B61=#REF!,B61=#REF!,B61=#REF!,B61=#REF!,B61=#REF!,B61=#REF!,B61=#REF!,B61=#REF!,B61=#REF!,B61=#REF!))</formula>
    </cfRule>
  </conditionalFormatting>
  <conditionalFormatting sqref="E47">
    <cfRule type="expression" dxfId="7" priority="15">
      <formula>_xlfn.XOR(E47="-",OR(B47=#REF!,B47=#REF!,B47=#REF!,B47=#REF!,B47=#REF!,B47=#REF!,B47=#REF!,B47=#REF!,B47=#REF!,B47=#REF!))</formula>
    </cfRule>
  </conditionalFormatting>
  <conditionalFormatting sqref="E46">
    <cfRule type="expression" dxfId="6" priority="16">
      <formula>_xlfn.XOR(E46="-",OR(B46=#REF!,B46=#REF!,B46=#REF!,B46=#REF!,B46=#REF!,B46=#REF!,B46=#REF!,B46=#REF!,B46=#REF!,B46=#REF!))</formula>
    </cfRule>
  </conditionalFormatting>
  <conditionalFormatting sqref="E48">
    <cfRule type="expression" dxfId="5" priority="17">
      <formula>_xlfn.XOR(E48="-",OR(B48=#REF!,B48=#REF!,B48=#REF!,B48=#REF!,B48=#REF!,B48=#REF!,B48=#REF!,B48=#REF!,B48=#REF!,B48=#REF!))</formula>
    </cfRule>
  </conditionalFormatting>
  <conditionalFormatting sqref="E49">
    <cfRule type="expression" dxfId="4" priority="18">
      <formula>_xlfn.XOR(E49="-",OR(B49=#REF!,B49=#REF!,B49=#REF!,B49=#REF!,B49=#REF!,B49=#REF!,B49=#REF!,B49=#REF!,B49=#REF!,B49=#REF!))</formula>
    </cfRule>
  </conditionalFormatting>
  <conditionalFormatting sqref="E50">
    <cfRule type="expression" dxfId="3" priority="19">
      <formula>_xlfn.XOR(E50="-",OR(B50=#REF!,B50=#REF!,B50=#REF!,B50=#REF!,B50=#REF!,B50=#REF!,B50=#REF!,B50=#REF!,B50=#REF!,B50=#REF!))</formula>
    </cfRule>
  </conditionalFormatting>
  <conditionalFormatting sqref="E51">
    <cfRule type="expression" dxfId="2" priority="20">
      <formula>_xlfn.XOR(E51="-",OR(B51=#REF!,B51=#REF!,B51=#REF!,B51=#REF!,B51=#REF!,B51=#REF!,B51=#REF!,B51=#REF!,B51=#REF!,B51=#REF!))</formula>
    </cfRule>
  </conditionalFormatting>
  <conditionalFormatting sqref="E52">
    <cfRule type="expression" dxfId="1" priority="21">
      <formula>_xlfn.XOR(E52="-",OR(B52=#REF!,B52=#REF!,B52=#REF!,B52=#REF!,B52=#REF!,B52=#REF!,B52=#REF!,B52=#REF!,B52=#REF!,B52=#REF!))</formula>
    </cfRule>
  </conditionalFormatting>
  <conditionalFormatting sqref="E53">
    <cfRule type="expression" dxfId="0" priority="22">
      <formula>_xlfn.XOR(E53="-",OR(B53=#REF!,B53=#REF!,B53=#REF!,B53=#REF!,B53=#REF!,B53=#REF!,B53=#REF!,B53=#REF!,B53=#REF!,B53=#REF!))</formula>
    </cfRule>
  </conditionalFormatting>
  <dataValidations disablePrompts="1" count="7">
    <dataValidation type="list" allowBlank="1" showInputMessage="1" showErrorMessage="1" sqref="B44:B70 B76:B106" xr:uid="{41A3DD2E-8B3B-4CD2-B17C-4D6703E3D0AB}">
      <formula1>#REF!</formula1>
    </dataValidation>
    <dataValidation type="list" allowBlank="1" showInputMessage="1" showErrorMessage="1" sqref="I44:I70" xr:uid="{3702F5EA-8C40-4A8F-A693-7A2EDAFA9B75}">
      <formula1>"ELÉCTRICO, HOT GAS, TIEMPO"</formula1>
    </dataValidation>
    <dataValidation type="list" allowBlank="1" showInputMessage="1" showErrorMessage="1" sqref="F44:H70 F76:I76" xr:uid="{17F82BE0-E62D-447E-8916-ADAAE18047B1}">
      <formula1>"SI,NO"</formula1>
    </dataValidation>
    <dataValidation type="list" allowBlank="1" showInputMessage="1" showErrorMessage="1" sqref="C7" xr:uid="{D53B2E49-C07D-4B23-BA2D-1C0F21786638}">
      <formula1>"SENCILLO, MIXTO"</formula1>
    </dataValidation>
    <dataValidation showInputMessage="1" showErrorMessage="1" sqref="J1:K1" xr:uid="{908C7B66-4AB5-4677-9686-AF36837B627D}"/>
    <dataValidation type="list" allowBlank="1" showInputMessage="1" showErrorMessage="1" sqref="E44:E70 E76" xr:uid="{528E135B-1087-4102-B651-0A0A86B4809F}">
      <formula1>"SI,NO,-"</formula1>
    </dataValidation>
    <dataValidation type="decimal" allowBlank="1" showInputMessage="1" showErrorMessage="1" sqref="D44:D70 D137:D150 D76:D106" xr:uid="{C349E442-85A8-41B1-A9EB-E5D04FFDF7A7}">
      <formula1>0</formula1>
      <formula2>200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D Cardenas P</dc:creator>
  <cp:lastModifiedBy>Oscar D Cardenas P</cp:lastModifiedBy>
  <dcterms:created xsi:type="dcterms:W3CDTF">2015-06-05T18:19:34Z</dcterms:created>
  <dcterms:modified xsi:type="dcterms:W3CDTF">2023-09-29T20:23:55Z</dcterms:modified>
</cp:coreProperties>
</file>